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amp; Summary" sheetId="1" state="visible" r:id="rId1"/>
    <sheet xmlns:r="http://schemas.openxmlformats.org/officeDocument/2006/relationships" name="Form Penilaian" sheetId="2" state="visible" r:id="rId2"/>
    <sheet xmlns:r="http://schemas.openxmlformats.org/officeDocument/2006/relationships" name="Rubrik Penilaian (BAR)"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xf>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xf numFmtId="0" fontId="3" fillId="0" borderId="1" applyAlignment="1" pivotButton="0" quotePrefix="0" xfId="0">
      <alignment horizontal="left" vertical="center" wrapText="1"/>
    </xf>
    <xf numFmtId="0" fontId="3" fillId="0" borderId="1" pivotButton="0" quotePrefix="0" xfId="0"/>
    <xf numFmtId="0" fontId="3" fillId="0" borderId="1" applyAlignment="1" pivotButton="0" quotePrefix="0" xfId="0">
      <alignment horizontal="center"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5" customWidth="1" min="1" max="1"/>
    <col width="15" customWidth="1" min="2" max="2"/>
    <col width="15" customWidth="1" min="3" max="3"/>
    <col width="15" customWidth="1" min="4" max="4"/>
    <col width="15" customWidth="1" min="5" max="5"/>
    <col width="15" customWidth="1" min="6" max="6"/>
  </cols>
  <sheetData>
    <row r="1">
      <c r="A1" s="1" t="inlineStr">
        <is>
          <t>PROFIL RESILIENT LEADERS INDEX (RELI)</t>
        </is>
      </c>
    </row>
    <row r="3">
      <c r="A3" t="inlineStr">
        <is>
          <t>Nama Etoser:</t>
        </is>
      </c>
      <c r="B3" t="inlineStr">
        <is>
          <t>[Nama]</t>
        </is>
      </c>
    </row>
    <row r="5">
      <c r="A5" s="2" t="inlineStr">
        <is>
          <t>Dimensi</t>
        </is>
      </c>
      <c r="B5" s="2" t="inlineStr">
        <is>
          <t>T0 (Baseline)</t>
        </is>
      </c>
      <c r="C5" s="2" t="inlineStr">
        <is>
          <t>T1 (Thn 1)</t>
        </is>
      </c>
      <c r="D5" s="2" t="inlineStr">
        <is>
          <t>T2 (Thn 2)</t>
        </is>
      </c>
      <c r="E5" s="2" t="inlineStr">
        <is>
          <t>T3 (Thn 3)</t>
        </is>
      </c>
      <c r="F5" s="2" t="inlineStr">
        <is>
          <t>T4 (Thn 4)</t>
        </is>
      </c>
    </row>
    <row r="6">
      <c r="A6" s="3" t="inlineStr">
        <is>
          <t>Value Resilience</t>
        </is>
      </c>
      <c r="B6" s="4">
        <f>IFERROR(AVERAGE('Form Penilaian'!J5:J20), 0)</f>
        <v/>
      </c>
      <c r="C6" s="4">
        <f>IFERROR(AVERAGE('Form Penilaian'!N5:N20), 0)</f>
        <v/>
      </c>
      <c r="D6" s="4">
        <f>IFERROR(AVERAGE('Form Penilaian'!R5:R20), 0)</f>
        <v/>
      </c>
      <c r="E6" s="4">
        <f>IFERROR(AVERAGE('Form Penilaian'!V5:V20), 0)</f>
        <v/>
      </c>
      <c r="F6" s="4">
        <f>IFERROR(AVERAGE('Form Penilaian'!Z5:Z20), 0)</f>
        <v/>
      </c>
    </row>
    <row r="7">
      <c r="A7" s="3" t="inlineStr">
        <is>
          <t>Self Resilience</t>
        </is>
      </c>
      <c r="B7" s="4">
        <f>IFERROR(AVERAGE('Form Penilaian'!J21:J36), 0)</f>
        <v/>
      </c>
      <c r="C7" s="4">
        <f>IFERROR(AVERAGE('Form Penilaian'!N21:N36), 0)</f>
        <v/>
      </c>
      <c r="D7" s="4">
        <f>IFERROR(AVERAGE('Form Penilaian'!R21:R36), 0)</f>
        <v/>
      </c>
      <c r="E7" s="4">
        <f>IFERROR(AVERAGE('Form Penilaian'!V21:V36), 0)</f>
        <v/>
      </c>
      <c r="F7" s="4">
        <f>IFERROR(AVERAGE('Form Penilaian'!Z21:Z36), 0)</f>
        <v/>
      </c>
    </row>
    <row r="8">
      <c r="A8" s="3" t="inlineStr">
        <is>
          <t>Social Resilience</t>
        </is>
      </c>
      <c r="B8" s="4">
        <f>IFERROR(AVERAGE('Form Penilaian'!J37:J52), 0)</f>
        <v/>
      </c>
      <c r="C8" s="4">
        <f>IFERROR(AVERAGE('Form Penilaian'!N37:N52), 0)</f>
        <v/>
      </c>
      <c r="D8" s="4">
        <f>IFERROR(AVERAGE('Form Penilaian'!R37:R52), 0)</f>
        <v/>
      </c>
      <c r="E8" s="4">
        <f>IFERROR(AVERAGE('Form Penilaian'!V37:V52), 0)</f>
        <v/>
      </c>
      <c r="F8" s="4">
        <f>IFERROR(AVERAGE('Form Penilaian'!Z37:Z52), 0)</f>
        <v/>
      </c>
    </row>
    <row r="9">
      <c r="A9" s="3" t="inlineStr">
        <is>
          <t>Change Resilience</t>
        </is>
      </c>
      <c r="B9" s="4">
        <f>IFERROR(AVERAGE('Form Penilaian'!J53:J68), 0)</f>
        <v/>
      </c>
      <c r="C9" s="4">
        <f>IFERROR(AVERAGE('Form Penilaian'!N53:N68), 0)</f>
        <v/>
      </c>
      <c r="D9" s="4">
        <f>IFERROR(AVERAGE('Form Penilaian'!R53:R68), 0)</f>
        <v/>
      </c>
      <c r="E9" s="4">
        <f>IFERROR(AVERAGE('Form Penilaian'!V53:V68), 0)</f>
        <v/>
      </c>
      <c r="F9" s="4">
        <f>IFERROR(AVERAGE('Form Penilaian'!Z53:Z68), 0)</f>
        <v/>
      </c>
    </row>
    <row r="10">
      <c r="A10" s="5" t="inlineStr">
        <is>
          <t>FINAL RELI SCORE</t>
        </is>
      </c>
      <c r="B10" s="6">
        <f>IFERROR(AVERAGE(B6:B9), 0)</f>
        <v/>
      </c>
      <c r="C10" s="6">
        <f>IFERROR(AVERAGE(C6:C9), 0)</f>
        <v/>
      </c>
      <c r="D10" s="6">
        <f>IFERROR(AVERAGE(D6:D9), 0)</f>
        <v/>
      </c>
      <c r="E10" s="6">
        <f>IFERROR(AVERAGE(E6:E9), 0)</f>
        <v/>
      </c>
      <c r="F10" s="6">
        <f>IFERROR(AVERAGE(F6:F9), 0)</f>
        <v/>
      </c>
    </row>
    <row r="11">
      <c r="A11" s="5" t="inlineStr">
        <is>
          <t>Leadership Maturity Level</t>
        </is>
      </c>
      <c r="B11" s="7">
        <f>IF(B10&gt;=3.25, "Level 4 - Resilient", IF(B10&gt;=2.5, "Level 3 - Transformative", IF(B10&gt;=1.75, "Level 2 - Developing", IF(B10&gt;0, "Level 1 - Emerging", "-"))))</f>
        <v/>
      </c>
      <c r="C11" s="7">
        <f>IF(C10&gt;=3.25, "Level 4 - Resilient", IF(C10&gt;=2.5, "Level 3 - Transformative", IF(C10&gt;=1.75, "Level 2 - Developing", IF(C10&gt;0, "Level 1 - Emerging", "-"))))</f>
        <v/>
      </c>
      <c r="D11" s="7">
        <f>IF(D10&gt;=3.25, "Level 4 - Resilient", IF(D10&gt;=2.5, "Level 3 - Transformative", IF(D10&gt;=1.75, "Level 2 - Developing", IF(D10&gt;0, "Level 1 - Emerging", "-"))))</f>
        <v/>
      </c>
      <c r="E11" s="7">
        <f>IF(E10&gt;=3.25, "Level 4 - Resilient", IF(E10&gt;=2.5, "Level 3 - Transformative", IF(E10&gt;=1.75, "Level 2 - Developing", IF(E10&gt;0, "Level 1 - Emerging", "-"))))</f>
        <v/>
      </c>
      <c r="F11" s="7">
        <f>IF(F10&gt;=3.25, "Level 4 - Resilient", IF(F10&gt;=2.5, "Level 3 - Transformative", IF(F10&gt;=1.75, "Level 2 - Developing", IF(F10&gt;0, "Level 1 - Emerging", "-"))))</f>
        <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3:Z68"/>
  <sheetViews>
    <sheetView workbookViewId="0">
      <pane xSplit="6" ySplit="4" topLeftCell="G5"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20" customWidth="1" min="3" max="3"/>
    <col width="10" customWidth="1" min="4" max="4"/>
    <col width="45" customWidth="1" min="5" max="5"/>
    <col width="45"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s>
  <sheetData>
    <row r="3">
      <c r="G3" s="2" t="inlineStr">
        <is>
          <t>T0 (Baseline)</t>
        </is>
      </c>
      <c r="K3" s="2" t="inlineStr">
        <is>
          <t>T1 (Akhir Tahun 1)</t>
        </is>
      </c>
      <c r="O3" s="2" t="inlineStr">
        <is>
          <t>T2 (Akhir Tahun 2)</t>
        </is>
      </c>
      <c r="S3" s="2" t="inlineStr">
        <is>
          <t>T3 (Akhir Tahun 3)</t>
        </is>
      </c>
      <c r="W3" s="2" t="inlineStr">
        <is>
          <t>T4 (Akhir Tahun 4)</t>
        </is>
      </c>
    </row>
    <row r="4">
      <c r="A4" s="2" t="inlineStr">
        <is>
          <t>No</t>
        </is>
      </c>
      <c r="B4" s="2" t="inlineStr">
        <is>
          <t>Dimensi</t>
        </is>
      </c>
      <c r="C4" s="2" t="inlineStr">
        <is>
          <t>Subdimensi</t>
        </is>
      </c>
      <c r="D4" s="2" t="inlineStr">
        <is>
          <t>Kode</t>
        </is>
      </c>
      <c r="E4" s="2" t="inlineStr">
        <is>
          <t>Pernyataan (Self)</t>
        </is>
      </c>
      <c r="F4" s="2" t="inlineStr">
        <is>
          <t>Pernyataan (Fasilitator)</t>
        </is>
      </c>
      <c r="G4" s="2" t="inlineStr">
        <is>
          <t>Self</t>
        </is>
      </c>
      <c r="H4" s="2" t="inlineStr">
        <is>
          <t>Facil</t>
        </is>
      </c>
      <c r="I4" s="2" t="inlineStr">
        <is>
          <t>Gap</t>
        </is>
      </c>
      <c r="J4" s="2" t="inlineStr">
        <is>
          <t>Final</t>
        </is>
      </c>
      <c r="K4" s="2" t="inlineStr">
        <is>
          <t>Self</t>
        </is>
      </c>
      <c r="L4" s="2" t="inlineStr">
        <is>
          <t>Facil</t>
        </is>
      </c>
      <c r="M4" s="2" t="inlineStr">
        <is>
          <t>Gap</t>
        </is>
      </c>
      <c r="N4" s="2" t="inlineStr">
        <is>
          <t>Final</t>
        </is>
      </c>
      <c r="O4" s="2" t="inlineStr">
        <is>
          <t>Self</t>
        </is>
      </c>
      <c r="P4" s="2" t="inlineStr">
        <is>
          <t>Facil</t>
        </is>
      </c>
      <c r="Q4" s="2" t="inlineStr">
        <is>
          <t>Gap</t>
        </is>
      </c>
      <c r="R4" s="2" t="inlineStr">
        <is>
          <t>Final</t>
        </is>
      </c>
      <c r="S4" s="2" t="inlineStr">
        <is>
          <t>Self</t>
        </is>
      </c>
      <c r="T4" s="2" t="inlineStr">
        <is>
          <t>Facil</t>
        </is>
      </c>
      <c r="U4" s="2" t="inlineStr">
        <is>
          <t>Gap</t>
        </is>
      </c>
      <c r="V4" s="2" t="inlineStr">
        <is>
          <t>Final</t>
        </is>
      </c>
      <c r="W4" s="2" t="inlineStr">
        <is>
          <t>Self</t>
        </is>
      </c>
      <c r="X4" s="2" t="inlineStr">
        <is>
          <t>Facil</t>
        </is>
      </c>
      <c r="Y4" s="2" t="inlineStr">
        <is>
          <t>Gap</t>
        </is>
      </c>
      <c r="Z4" s="2" t="inlineStr">
        <is>
          <t>Final</t>
        </is>
      </c>
    </row>
    <row r="5">
      <c r="A5" s="8" t="n">
        <v>1</v>
      </c>
      <c r="B5" s="3" t="inlineStr">
        <is>
          <t>Value Resilience</t>
        </is>
      </c>
      <c r="C5" s="3" t="inlineStr">
        <is>
          <t>Spirituality</t>
        </is>
      </c>
      <c r="D5" s="8" t="inlineStr">
        <is>
          <t>VR-S1</t>
        </is>
      </c>
      <c r="E5" s="3" t="inlineStr">
        <is>
          <t>Menjaga ibadah di tengah kesibukan
Saya menjadikan ibadah sebagai bagian yang terjaga dalam rutinitas hidup saya, termasuk ketika kesibukan meningkat.</t>
        </is>
      </c>
      <c r="F5" s="3" t="inlineStr">
        <is>
          <t>Menjaga ibadah di tengah kesibukan
Etoser menjadikan ibadah sebagai bagian yang terjaga dalam rutinitas hidup Etoser, termasuk ketika kesibukan meningkat.</t>
        </is>
      </c>
      <c r="G5" s="4" t="n"/>
      <c r="H5" s="4" t="n"/>
      <c r="I5" s="8">
        <f>IF(AND(G5&lt;&gt;"", H5&lt;&gt;""), G5-H5, "")</f>
        <v/>
      </c>
      <c r="J5" s="8">
        <f>IF(AND(G5&lt;&gt;"", H5&lt;&gt;""), AVERAGE(G5,H5), "")</f>
        <v/>
      </c>
      <c r="K5" s="4" t="n"/>
      <c r="L5" s="4" t="n"/>
      <c r="M5" s="8">
        <f>IF(AND(K5&lt;&gt;"", L5&lt;&gt;""), K5-L5, "")</f>
        <v/>
      </c>
      <c r="N5" s="8">
        <f>IF(AND(K5&lt;&gt;"", L5&lt;&gt;""), AVERAGE(K5,L5), "")</f>
        <v/>
      </c>
      <c r="O5" s="4" t="n"/>
      <c r="P5" s="4" t="n"/>
      <c r="Q5" s="8">
        <f>IF(AND(O5&lt;&gt;"", P5&lt;&gt;""), O5-P5, "")</f>
        <v/>
      </c>
      <c r="R5" s="8">
        <f>IF(AND(O5&lt;&gt;"", P5&lt;&gt;""), AVERAGE(O5,P5), "")</f>
        <v/>
      </c>
      <c r="S5" s="4" t="n"/>
      <c r="T5" s="4" t="n"/>
      <c r="U5" s="8">
        <f>IF(AND(S5&lt;&gt;"", T5&lt;&gt;""), S5-T5, "")</f>
        <v/>
      </c>
      <c r="V5" s="8">
        <f>IF(AND(S5&lt;&gt;"", T5&lt;&gt;""), AVERAGE(S5,T5), "")</f>
        <v/>
      </c>
      <c r="W5" s="4" t="n"/>
      <c r="X5" s="4" t="n"/>
      <c r="Y5" s="8">
        <f>IF(AND(W5&lt;&gt;"", X5&lt;&gt;""), W5-X5, "")</f>
        <v/>
      </c>
      <c r="Z5" s="8">
        <f>IF(AND(W5&lt;&gt;"", X5&lt;&gt;""), AVERAGE(W5,X5), "")</f>
        <v/>
      </c>
    </row>
    <row r="6">
      <c r="A6" s="8" t="n">
        <v>2</v>
      </c>
      <c r="B6" s="3" t="inlineStr">
        <is>
          <t>Value Resilience</t>
        </is>
      </c>
      <c r="C6" s="3" t="inlineStr">
        <is>
          <t>Spirituality</t>
        </is>
      </c>
      <c r="D6" s="8" t="inlineStr">
        <is>
          <t>VR-S2</t>
        </is>
      </c>
      <c r="E6" s="3" t="inlineStr">
        <is>
          <t>Nilai Islam dalam pengambilan keputusan
Saya menggunakan nilai-nilai Islam sebagai pertimbangan ketika mengambil keputusan penting.</t>
        </is>
      </c>
      <c r="F6" s="3" t="inlineStr">
        <is>
          <t>Nilai Islam dalam pengambilan keputusan
Etoser menggunakan nilai-nilai Islam sebagai pertimbangan ketika mengambil keputusan penting.</t>
        </is>
      </c>
      <c r="G6" s="4" t="n"/>
      <c r="H6" s="4" t="n"/>
      <c r="I6" s="8">
        <f>IF(AND(G6&lt;&gt;"", H6&lt;&gt;""), G6-H6, "")</f>
        <v/>
      </c>
      <c r="J6" s="8">
        <f>IF(AND(G6&lt;&gt;"", H6&lt;&gt;""), AVERAGE(G6,H6), "")</f>
        <v/>
      </c>
      <c r="K6" s="4" t="n"/>
      <c r="L6" s="4" t="n"/>
      <c r="M6" s="8">
        <f>IF(AND(K6&lt;&gt;"", L6&lt;&gt;""), K6-L6, "")</f>
        <v/>
      </c>
      <c r="N6" s="8">
        <f>IF(AND(K6&lt;&gt;"", L6&lt;&gt;""), AVERAGE(K6,L6), "")</f>
        <v/>
      </c>
      <c r="O6" s="4" t="n"/>
      <c r="P6" s="4" t="n"/>
      <c r="Q6" s="8">
        <f>IF(AND(O6&lt;&gt;"", P6&lt;&gt;""), O6-P6, "")</f>
        <v/>
      </c>
      <c r="R6" s="8">
        <f>IF(AND(O6&lt;&gt;"", P6&lt;&gt;""), AVERAGE(O6,P6), "")</f>
        <v/>
      </c>
      <c r="S6" s="4" t="n"/>
      <c r="T6" s="4" t="n"/>
      <c r="U6" s="8">
        <f>IF(AND(S6&lt;&gt;"", T6&lt;&gt;""), S6-T6, "")</f>
        <v/>
      </c>
      <c r="V6" s="8">
        <f>IF(AND(S6&lt;&gt;"", T6&lt;&gt;""), AVERAGE(S6,T6), "")</f>
        <v/>
      </c>
      <c r="W6" s="4" t="n"/>
      <c r="X6" s="4" t="n"/>
      <c r="Y6" s="8">
        <f>IF(AND(W6&lt;&gt;"", X6&lt;&gt;""), W6-X6, "")</f>
        <v/>
      </c>
      <c r="Z6" s="8">
        <f>IF(AND(W6&lt;&gt;"", X6&lt;&gt;""), AVERAGE(W6,X6), "")</f>
        <v/>
      </c>
    </row>
    <row r="7">
      <c r="A7" s="8" t="n">
        <v>3</v>
      </c>
      <c r="B7" s="3" t="inlineStr">
        <is>
          <t>Value Resilience</t>
        </is>
      </c>
      <c r="C7" s="3" t="inlineStr">
        <is>
          <t>Spirituality</t>
        </is>
      </c>
      <c r="D7" s="8" t="inlineStr">
        <is>
          <t>VR-S3</t>
        </is>
      </c>
      <c r="E7" s="3" t="inlineStr">
        <is>
          <t>Kekuatan spiritual dalam menghadapi tekanan
Saya berikhtiar memperbaiki kualitas hubungan saya dengan Allah ketika menghadapi kegagalan, tekanan, atau perubahan hidup.</t>
        </is>
      </c>
      <c r="F7" s="3" t="inlineStr">
        <is>
          <t>Kekuatan spiritual dalam menghadapi tekanan
Etoser berikhtiar memperbaiki kualitas hubungan Etoser dengan Allah ketika menghadapi kegagalan, tekanan, atau perubahan hidup.</t>
        </is>
      </c>
      <c r="G7" s="4" t="n"/>
      <c r="H7" s="4" t="n"/>
      <c r="I7" s="8">
        <f>IF(AND(G7&lt;&gt;"", H7&lt;&gt;""), G7-H7, "")</f>
        <v/>
      </c>
      <c r="J7" s="8">
        <f>IF(AND(G7&lt;&gt;"", H7&lt;&gt;""), AVERAGE(G7,H7), "")</f>
        <v/>
      </c>
      <c r="K7" s="4" t="n"/>
      <c r="L7" s="4" t="n"/>
      <c r="M7" s="8">
        <f>IF(AND(K7&lt;&gt;"", L7&lt;&gt;""), K7-L7, "")</f>
        <v/>
      </c>
      <c r="N7" s="8">
        <f>IF(AND(K7&lt;&gt;"", L7&lt;&gt;""), AVERAGE(K7,L7), "")</f>
        <v/>
      </c>
      <c r="O7" s="4" t="n"/>
      <c r="P7" s="4" t="n"/>
      <c r="Q7" s="8">
        <f>IF(AND(O7&lt;&gt;"", P7&lt;&gt;""), O7-P7, "")</f>
        <v/>
      </c>
      <c r="R7" s="8">
        <f>IF(AND(O7&lt;&gt;"", P7&lt;&gt;""), AVERAGE(O7,P7), "")</f>
        <v/>
      </c>
      <c r="S7" s="4" t="n"/>
      <c r="T7" s="4" t="n"/>
      <c r="U7" s="8">
        <f>IF(AND(S7&lt;&gt;"", T7&lt;&gt;""), S7-T7, "")</f>
        <v/>
      </c>
      <c r="V7" s="8">
        <f>IF(AND(S7&lt;&gt;"", T7&lt;&gt;""), AVERAGE(S7,T7), "")</f>
        <v/>
      </c>
      <c r="W7" s="4" t="n"/>
      <c r="X7" s="4" t="n"/>
      <c r="Y7" s="8">
        <f>IF(AND(W7&lt;&gt;"", X7&lt;&gt;""), W7-X7, "")</f>
        <v/>
      </c>
      <c r="Z7" s="8">
        <f>IF(AND(W7&lt;&gt;"", X7&lt;&gt;""), AVERAGE(W7,X7), "")</f>
        <v/>
      </c>
    </row>
    <row r="8">
      <c r="A8" s="8" t="n">
        <v>4</v>
      </c>
      <c r="B8" s="3" t="inlineStr">
        <is>
          <t>Value Resilience</t>
        </is>
      </c>
      <c r="C8" s="3" t="inlineStr">
        <is>
          <t>Spirituality</t>
        </is>
      </c>
      <c r="D8" s="8" t="inlineStr">
        <is>
          <t>VR-S4</t>
        </is>
      </c>
      <c r="E8" s="3" t="inlineStr">
        <is>
          <t>Konsistensi nilai dalam lingkungan yang berbeda
Saya berusaha menjaga komitmen terhadap nilai dan praktik keislaman meskipun berada dalam lingkungan yang kurang mendukung.</t>
        </is>
      </c>
      <c r="F8" s="3" t="inlineStr">
        <is>
          <t>Konsistensi nilai dalam lingkungan yang berbeda
Etoser berusaha menjaga komitmen terhadap nilai dan praktik keislaman meskipun berada dalam lingkungan yang kurang mendukung.</t>
        </is>
      </c>
      <c r="G8" s="4" t="n"/>
      <c r="H8" s="4" t="n"/>
      <c r="I8" s="8">
        <f>IF(AND(G8&lt;&gt;"", H8&lt;&gt;""), G8-H8, "")</f>
        <v/>
      </c>
      <c r="J8" s="8">
        <f>IF(AND(G8&lt;&gt;"", H8&lt;&gt;""), AVERAGE(G8,H8), "")</f>
        <v/>
      </c>
      <c r="K8" s="4" t="n"/>
      <c r="L8" s="4" t="n"/>
      <c r="M8" s="8">
        <f>IF(AND(K8&lt;&gt;"", L8&lt;&gt;""), K8-L8, "")</f>
        <v/>
      </c>
      <c r="N8" s="8">
        <f>IF(AND(K8&lt;&gt;"", L8&lt;&gt;""), AVERAGE(K8,L8), "")</f>
        <v/>
      </c>
      <c r="O8" s="4" t="n"/>
      <c r="P8" s="4" t="n"/>
      <c r="Q8" s="8">
        <f>IF(AND(O8&lt;&gt;"", P8&lt;&gt;""), O8-P8, "")</f>
        <v/>
      </c>
      <c r="R8" s="8">
        <f>IF(AND(O8&lt;&gt;"", P8&lt;&gt;""), AVERAGE(O8,P8), "")</f>
        <v/>
      </c>
      <c r="S8" s="4" t="n"/>
      <c r="T8" s="4" t="n"/>
      <c r="U8" s="8">
        <f>IF(AND(S8&lt;&gt;"", T8&lt;&gt;""), S8-T8, "")</f>
        <v/>
      </c>
      <c r="V8" s="8">
        <f>IF(AND(S8&lt;&gt;"", T8&lt;&gt;""), AVERAGE(S8,T8), "")</f>
        <v/>
      </c>
      <c r="W8" s="4" t="n"/>
      <c r="X8" s="4" t="n"/>
      <c r="Y8" s="8">
        <f>IF(AND(W8&lt;&gt;"", X8&lt;&gt;""), W8-X8, "")</f>
        <v/>
      </c>
      <c r="Z8" s="8">
        <f>IF(AND(W8&lt;&gt;"", X8&lt;&gt;""), AVERAGE(W8,X8), "")</f>
        <v/>
      </c>
    </row>
    <row r="9">
      <c r="A9" s="8" t="n">
        <v>5</v>
      </c>
      <c r="B9" s="3" t="inlineStr">
        <is>
          <t>Value Resilience</t>
        </is>
      </c>
      <c r="C9" s="3" t="inlineStr">
        <is>
          <t>Integrity</t>
        </is>
      </c>
      <c r="D9" s="8" t="inlineStr">
        <is>
          <t>VR-I1</t>
        </is>
      </c>
      <c r="E9" s="3" t="inlineStr">
        <is>
          <t>Kejujuran
Saya menyampaikan informasi, hasil kerja, dan pencapaian saya secara jujur tanpa melebih-lebihkan.</t>
        </is>
      </c>
      <c r="F9" s="3" t="inlineStr">
        <is>
          <t>Kejujuran
Etoser menyampaikan informasi, hasil kerja, dan pencapaian Etoser secara jujur tanpa melebih-lebihkan.</t>
        </is>
      </c>
      <c r="G9" s="4" t="n"/>
      <c r="H9" s="4" t="n"/>
      <c r="I9" s="8">
        <f>IF(AND(G9&lt;&gt;"", H9&lt;&gt;""), G9-H9, "")</f>
        <v/>
      </c>
      <c r="J9" s="8">
        <f>IF(AND(G9&lt;&gt;"", H9&lt;&gt;""), AVERAGE(G9,H9), "")</f>
        <v/>
      </c>
      <c r="K9" s="4" t="n"/>
      <c r="L9" s="4" t="n"/>
      <c r="M9" s="8">
        <f>IF(AND(K9&lt;&gt;"", L9&lt;&gt;""), K9-L9, "")</f>
        <v/>
      </c>
      <c r="N9" s="8">
        <f>IF(AND(K9&lt;&gt;"", L9&lt;&gt;""), AVERAGE(K9,L9), "")</f>
        <v/>
      </c>
      <c r="O9" s="4" t="n"/>
      <c r="P9" s="4" t="n"/>
      <c r="Q9" s="8">
        <f>IF(AND(O9&lt;&gt;"", P9&lt;&gt;""), O9-P9, "")</f>
        <v/>
      </c>
      <c r="R9" s="8">
        <f>IF(AND(O9&lt;&gt;"", P9&lt;&gt;""), AVERAGE(O9,P9), "")</f>
        <v/>
      </c>
      <c r="S9" s="4" t="n"/>
      <c r="T9" s="4" t="n"/>
      <c r="U9" s="8">
        <f>IF(AND(S9&lt;&gt;"", T9&lt;&gt;""), S9-T9, "")</f>
        <v/>
      </c>
      <c r="V9" s="8">
        <f>IF(AND(S9&lt;&gt;"", T9&lt;&gt;""), AVERAGE(S9,T9), "")</f>
        <v/>
      </c>
      <c r="W9" s="4" t="n"/>
      <c r="X9" s="4" t="n"/>
      <c r="Y9" s="8">
        <f>IF(AND(W9&lt;&gt;"", X9&lt;&gt;""), W9-X9, "")</f>
        <v/>
      </c>
      <c r="Z9" s="8">
        <f>IF(AND(W9&lt;&gt;"", X9&lt;&gt;""), AVERAGE(W9,X9), "")</f>
        <v/>
      </c>
    </row>
    <row r="10">
      <c r="A10" s="8" t="n">
        <v>6</v>
      </c>
      <c r="B10" s="3" t="inlineStr">
        <is>
          <t>Value Resilience</t>
        </is>
      </c>
      <c r="C10" s="3" t="inlineStr">
        <is>
          <t>Integrity</t>
        </is>
      </c>
      <c r="D10" s="8" t="inlineStr">
        <is>
          <t>VR-I2</t>
        </is>
      </c>
      <c r="E10" s="3" t="inlineStr">
        <is>
          <t>Integritas dalam situasi sulit
Saya tetap memilih tindakan yang sesuai dengan prinsip dan etika meskipun pilihan tersebut tidak menguntungkan bagi saya.</t>
        </is>
      </c>
      <c r="F10" s="3" t="inlineStr">
        <is>
          <t>Integritas dalam situasi sulit
Etoser tetap memilih tindakan yang sesuai dengan prinsip dan etika meskipun pilihan tersebut tidak menguntungkan bagi Etoser.</t>
        </is>
      </c>
      <c r="G10" s="4" t="n"/>
      <c r="H10" s="4" t="n"/>
      <c r="I10" s="8">
        <f>IF(AND(G10&lt;&gt;"", H10&lt;&gt;""), G10-H10, "")</f>
        <v/>
      </c>
      <c r="J10" s="8">
        <f>IF(AND(G10&lt;&gt;"", H10&lt;&gt;""), AVERAGE(G10,H10), "")</f>
        <v/>
      </c>
      <c r="K10" s="4" t="n"/>
      <c r="L10" s="4" t="n"/>
      <c r="M10" s="8">
        <f>IF(AND(K10&lt;&gt;"", L10&lt;&gt;""), K10-L10, "")</f>
        <v/>
      </c>
      <c r="N10" s="8">
        <f>IF(AND(K10&lt;&gt;"", L10&lt;&gt;""), AVERAGE(K10,L10), "")</f>
        <v/>
      </c>
      <c r="O10" s="4" t="n"/>
      <c r="P10" s="4" t="n"/>
      <c r="Q10" s="8">
        <f>IF(AND(O10&lt;&gt;"", P10&lt;&gt;""), O10-P10, "")</f>
        <v/>
      </c>
      <c r="R10" s="8">
        <f>IF(AND(O10&lt;&gt;"", P10&lt;&gt;""), AVERAGE(O10,P10), "")</f>
        <v/>
      </c>
      <c r="S10" s="4" t="n"/>
      <c r="T10" s="4" t="n"/>
      <c r="U10" s="8">
        <f>IF(AND(S10&lt;&gt;"", T10&lt;&gt;""), S10-T10, "")</f>
        <v/>
      </c>
      <c r="V10" s="8">
        <f>IF(AND(S10&lt;&gt;"", T10&lt;&gt;""), AVERAGE(S10,T10), "")</f>
        <v/>
      </c>
      <c r="W10" s="4" t="n"/>
      <c r="X10" s="4" t="n"/>
      <c r="Y10" s="8">
        <f>IF(AND(W10&lt;&gt;"", X10&lt;&gt;""), W10-X10, "")</f>
        <v/>
      </c>
      <c r="Z10" s="8">
        <f>IF(AND(W10&lt;&gt;"", X10&lt;&gt;""), AVERAGE(W10,X10), "")</f>
        <v/>
      </c>
    </row>
    <row r="11">
      <c r="A11" s="8" t="n">
        <v>7</v>
      </c>
      <c r="B11" s="3" t="inlineStr">
        <is>
          <t>Value Resilience</t>
        </is>
      </c>
      <c r="C11" s="3" t="inlineStr">
        <is>
          <t>Integrity</t>
        </is>
      </c>
      <c r="D11" s="8" t="inlineStr">
        <is>
          <t>VR-I3</t>
        </is>
      </c>
      <c r="E11" s="3" t="inlineStr">
        <is>
          <t>Keselarasan kata dan tindakan
Saya menjaga kesesuaian antara apa yang saya katakan, janjikan, dan lakukan.</t>
        </is>
      </c>
      <c r="F11" s="3" t="inlineStr">
        <is>
          <t>Keselarasan kata dan tindakan
Etoser menjaga kesesuaian antara apa yang Etoser katakan, janjikan, dan lakukan.</t>
        </is>
      </c>
      <c r="G11" s="4" t="n"/>
      <c r="H11" s="4" t="n"/>
      <c r="I11" s="8">
        <f>IF(AND(G11&lt;&gt;"", H11&lt;&gt;""), G11-H11, "")</f>
        <v/>
      </c>
      <c r="J11" s="8">
        <f>IF(AND(G11&lt;&gt;"", H11&lt;&gt;""), AVERAGE(G11,H11), "")</f>
        <v/>
      </c>
      <c r="K11" s="4" t="n"/>
      <c r="L11" s="4" t="n"/>
      <c r="M11" s="8">
        <f>IF(AND(K11&lt;&gt;"", L11&lt;&gt;""), K11-L11, "")</f>
        <v/>
      </c>
      <c r="N11" s="8">
        <f>IF(AND(K11&lt;&gt;"", L11&lt;&gt;""), AVERAGE(K11,L11), "")</f>
        <v/>
      </c>
      <c r="O11" s="4" t="n"/>
      <c r="P11" s="4" t="n"/>
      <c r="Q11" s="8">
        <f>IF(AND(O11&lt;&gt;"", P11&lt;&gt;""), O11-P11, "")</f>
        <v/>
      </c>
      <c r="R11" s="8">
        <f>IF(AND(O11&lt;&gt;"", P11&lt;&gt;""), AVERAGE(O11,P11), "")</f>
        <v/>
      </c>
      <c r="S11" s="4" t="n"/>
      <c r="T11" s="4" t="n"/>
      <c r="U11" s="8">
        <f>IF(AND(S11&lt;&gt;"", T11&lt;&gt;""), S11-T11, "")</f>
        <v/>
      </c>
      <c r="V11" s="8">
        <f>IF(AND(S11&lt;&gt;"", T11&lt;&gt;""), AVERAGE(S11,T11), "")</f>
        <v/>
      </c>
      <c r="W11" s="4" t="n"/>
      <c r="X11" s="4" t="n"/>
      <c r="Y11" s="8">
        <f>IF(AND(W11&lt;&gt;"", X11&lt;&gt;""), W11-X11, "")</f>
        <v/>
      </c>
      <c r="Z11" s="8">
        <f>IF(AND(W11&lt;&gt;"", X11&lt;&gt;""), AVERAGE(W11,X11), "")</f>
        <v/>
      </c>
    </row>
    <row r="12">
      <c r="A12" s="8" t="n">
        <v>8</v>
      </c>
      <c r="B12" s="3" t="inlineStr">
        <is>
          <t>Value Resilience</t>
        </is>
      </c>
      <c r="C12" s="3" t="inlineStr">
        <is>
          <t>Integrity</t>
        </is>
      </c>
      <c r="D12" s="8" t="inlineStr">
        <is>
          <t>VR-I4</t>
        </is>
      </c>
      <c r="E12" s="3" t="inlineStr">
        <is>
          <t>Mengakui kesalahan
Saya berani mengakui kesalahan dan melakukan perbaikan ketika tindakan saya tidak sesuai dengan nilai yang saya yakini.</t>
        </is>
      </c>
      <c r="F12" s="3" t="inlineStr">
        <is>
          <t>Mengakui kesalahan
Etoser berani mengakui kesalahan dan melakukan perbaikan ketika tindakan Etoser tidak sesuai dengan nilai yang Etoser yakini.</t>
        </is>
      </c>
      <c r="G12" s="4" t="n"/>
      <c r="H12" s="4" t="n"/>
      <c r="I12" s="8">
        <f>IF(AND(G12&lt;&gt;"", H12&lt;&gt;""), G12-H12, "")</f>
        <v/>
      </c>
      <c r="J12" s="8">
        <f>IF(AND(G12&lt;&gt;"", H12&lt;&gt;""), AVERAGE(G12,H12), "")</f>
        <v/>
      </c>
      <c r="K12" s="4" t="n"/>
      <c r="L12" s="4" t="n"/>
      <c r="M12" s="8">
        <f>IF(AND(K12&lt;&gt;"", L12&lt;&gt;""), K12-L12, "")</f>
        <v/>
      </c>
      <c r="N12" s="8">
        <f>IF(AND(K12&lt;&gt;"", L12&lt;&gt;""), AVERAGE(K12,L12), "")</f>
        <v/>
      </c>
      <c r="O12" s="4" t="n"/>
      <c r="P12" s="4" t="n"/>
      <c r="Q12" s="8">
        <f>IF(AND(O12&lt;&gt;"", P12&lt;&gt;""), O12-P12, "")</f>
        <v/>
      </c>
      <c r="R12" s="8">
        <f>IF(AND(O12&lt;&gt;"", P12&lt;&gt;""), AVERAGE(O12,P12), "")</f>
        <v/>
      </c>
      <c r="S12" s="4" t="n"/>
      <c r="T12" s="4" t="n"/>
      <c r="U12" s="8">
        <f>IF(AND(S12&lt;&gt;"", T12&lt;&gt;""), S12-T12, "")</f>
        <v/>
      </c>
      <c r="V12" s="8">
        <f>IF(AND(S12&lt;&gt;"", T12&lt;&gt;""), AVERAGE(S12,T12), "")</f>
        <v/>
      </c>
      <c r="W12" s="4" t="n"/>
      <c r="X12" s="4" t="n"/>
      <c r="Y12" s="8">
        <f>IF(AND(W12&lt;&gt;"", X12&lt;&gt;""), W12-X12, "")</f>
        <v/>
      </c>
      <c r="Z12" s="8">
        <f>IF(AND(W12&lt;&gt;"", X12&lt;&gt;""), AVERAGE(W12,X12), "")</f>
        <v/>
      </c>
    </row>
    <row r="13">
      <c r="A13" s="8" t="n">
        <v>9</v>
      </c>
      <c r="B13" s="3" t="inlineStr">
        <is>
          <t>Value Resilience</t>
        </is>
      </c>
      <c r="C13" s="3" t="inlineStr">
        <is>
          <t>Responsibility/Amanah</t>
        </is>
      </c>
      <c r="D13" s="8" t="inlineStr">
        <is>
          <t>VR-A1</t>
        </is>
      </c>
      <c r="E13" s="3" t="inlineStr">
        <is>
          <t>Menyelesaikan amanah
Saya menyelesaikan tanggung jawab yang telah saya terima sesuai kesepakatan.</t>
        </is>
      </c>
      <c r="F13" s="3" t="inlineStr">
        <is>
          <t>Menyelesaikan amanah
Etoser menyelesaikan tanggung jawab yang telah Etoser terima sesuai kesepakatan.</t>
        </is>
      </c>
      <c r="G13" s="4" t="n"/>
      <c r="H13" s="4" t="n"/>
      <c r="I13" s="8">
        <f>IF(AND(G13&lt;&gt;"", H13&lt;&gt;""), G13-H13, "")</f>
        <v/>
      </c>
      <c r="J13" s="8">
        <f>IF(AND(G13&lt;&gt;"", H13&lt;&gt;""), AVERAGE(G13,H13), "")</f>
        <v/>
      </c>
      <c r="K13" s="4" t="n"/>
      <c r="L13" s="4" t="n"/>
      <c r="M13" s="8">
        <f>IF(AND(K13&lt;&gt;"", L13&lt;&gt;""), K13-L13, "")</f>
        <v/>
      </c>
      <c r="N13" s="8">
        <f>IF(AND(K13&lt;&gt;"", L13&lt;&gt;""), AVERAGE(K13,L13), "")</f>
        <v/>
      </c>
      <c r="O13" s="4" t="n"/>
      <c r="P13" s="4" t="n"/>
      <c r="Q13" s="8">
        <f>IF(AND(O13&lt;&gt;"", P13&lt;&gt;""), O13-P13, "")</f>
        <v/>
      </c>
      <c r="R13" s="8">
        <f>IF(AND(O13&lt;&gt;"", P13&lt;&gt;""), AVERAGE(O13,P13), "")</f>
        <v/>
      </c>
      <c r="S13" s="4" t="n"/>
      <c r="T13" s="4" t="n"/>
      <c r="U13" s="8">
        <f>IF(AND(S13&lt;&gt;"", T13&lt;&gt;""), S13-T13, "")</f>
        <v/>
      </c>
      <c r="V13" s="8">
        <f>IF(AND(S13&lt;&gt;"", T13&lt;&gt;""), AVERAGE(S13,T13), "")</f>
        <v/>
      </c>
      <c r="W13" s="4" t="n"/>
      <c r="X13" s="4" t="n"/>
      <c r="Y13" s="8">
        <f>IF(AND(W13&lt;&gt;"", X13&lt;&gt;""), W13-X13, "")</f>
        <v/>
      </c>
      <c r="Z13" s="8">
        <f>IF(AND(W13&lt;&gt;"", X13&lt;&gt;""), AVERAGE(W13,X13), "")</f>
        <v/>
      </c>
    </row>
    <row r="14">
      <c r="A14" s="8" t="n">
        <v>10</v>
      </c>
      <c r="B14" s="3" t="inlineStr">
        <is>
          <t>Value Resilience</t>
        </is>
      </c>
      <c r="C14" s="3" t="inlineStr">
        <is>
          <t>Responsibility/Amanah</t>
        </is>
      </c>
      <c r="D14" s="8" t="inlineStr">
        <is>
          <t>VR-A2</t>
        </is>
      </c>
      <c r="E14" s="3" t="inlineStr">
        <is>
          <t>Accountability
Saya tetap bertanggung jawab terhadap hasil pekerjaan saya ketika menghadapi kendala atau kegagalan.</t>
        </is>
      </c>
      <c r="F14" s="3" t="inlineStr">
        <is>
          <t>Accountability
Etoser tetap bertanggung jawab terhadap hasil pekerjaan Etoser ketika menghadapi kendala atau kegagalan.</t>
        </is>
      </c>
      <c r="G14" s="4" t="n"/>
      <c r="H14" s="4" t="n"/>
      <c r="I14" s="8">
        <f>IF(AND(G14&lt;&gt;"", H14&lt;&gt;""), G14-H14, "")</f>
        <v/>
      </c>
      <c r="J14" s="8">
        <f>IF(AND(G14&lt;&gt;"", H14&lt;&gt;""), AVERAGE(G14,H14), "")</f>
        <v/>
      </c>
      <c r="K14" s="4" t="n"/>
      <c r="L14" s="4" t="n"/>
      <c r="M14" s="8">
        <f>IF(AND(K14&lt;&gt;"", L14&lt;&gt;""), K14-L14, "")</f>
        <v/>
      </c>
      <c r="N14" s="8">
        <f>IF(AND(K14&lt;&gt;"", L14&lt;&gt;""), AVERAGE(K14,L14), "")</f>
        <v/>
      </c>
      <c r="O14" s="4" t="n"/>
      <c r="P14" s="4" t="n"/>
      <c r="Q14" s="8">
        <f>IF(AND(O14&lt;&gt;"", P14&lt;&gt;""), O14-P14, "")</f>
        <v/>
      </c>
      <c r="R14" s="8">
        <f>IF(AND(O14&lt;&gt;"", P14&lt;&gt;""), AVERAGE(O14,P14), "")</f>
        <v/>
      </c>
      <c r="S14" s="4" t="n"/>
      <c r="T14" s="4" t="n"/>
      <c r="U14" s="8">
        <f>IF(AND(S14&lt;&gt;"", T14&lt;&gt;""), S14-T14, "")</f>
        <v/>
      </c>
      <c r="V14" s="8">
        <f>IF(AND(S14&lt;&gt;"", T14&lt;&gt;""), AVERAGE(S14,T14), "")</f>
        <v/>
      </c>
      <c r="W14" s="4" t="n"/>
      <c r="X14" s="4" t="n"/>
      <c r="Y14" s="8">
        <f>IF(AND(W14&lt;&gt;"", X14&lt;&gt;""), W14-X14, "")</f>
        <v/>
      </c>
      <c r="Z14" s="8">
        <f>IF(AND(W14&lt;&gt;"", X14&lt;&gt;""), AVERAGE(W14,X14), "")</f>
        <v/>
      </c>
    </row>
    <row r="15">
      <c r="A15" s="8" t="n">
        <v>11</v>
      </c>
      <c r="B15" s="3" t="inlineStr">
        <is>
          <t>Value Resilience</t>
        </is>
      </c>
      <c r="C15" s="3" t="inlineStr">
        <is>
          <t>Responsibility/Amanah</t>
        </is>
      </c>
      <c r="D15" s="8" t="inlineStr">
        <is>
          <t>VR-A3</t>
        </is>
      </c>
      <c r="E15" s="3" t="inlineStr">
        <is>
          <t>Mengomunikasikan hambatan
Saya berinisiatif mengomunikasikan masalah ketika mengetahui bahwa saya tidak mampu memenuhi amanah sesuai rencana.</t>
        </is>
      </c>
      <c r="F15" s="3" t="inlineStr">
        <is>
          <t>Mengomunikasikan hambatan
Etoser berinisiatif mengomunikasikan masalah ketika mengetahui bahwa Etoser tidak mampu memenuhi amanah sesuai rencana.</t>
        </is>
      </c>
      <c r="G15" s="4" t="n"/>
      <c r="H15" s="4" t="n"/>
      <c r="I15" s="8">
        <f>IF(AND(G15&lt;&gt;"", H15&lt;&gt;""), G15-H15, "")</f>
        <v/>
      </c>
      <c r="J15" s="8">
        <f>IF(AND(G15&lt;&gt;"", H15&lt;&gt;""), AVERAGE(G15,H15), "")</f>
        <v/>
      </c>
      <c r="K15" s="4" t="n"/>
      <c r="L15" s="4" t="n"/>
      <c r="M15" s="8">
        <f>IF(AND(K15&lt;&gt;"", L15&lt;&gt;""), K15-L15, "")</f>
        <v/>
      </c>
      <c r="N15" s="8">
        <f>IF(AND(K15&lt;&gt;"", L15&lt;&gt;""), AVERAGE(K15,L15), "")</f>
        <v/>
      </c>
      <c r="O15" s="4" t="n"/>
      <c r="P15" s="4" t="n"/>
      <c r="Q15" s="8">
        <f>IF(AND(O15&lt;&gt;"", P15&lt;&gt;""), O15-P15, "")</f>
        <v/>
      </c>
      <c r="R15" s="8">
        <f>IF(AND(O15&lt;&gt;"", P15&lt;&gt;""), AVERAGE(O15,P15), "")</f>
        <v/>
      </c>
      <c r="S15" s="4" t="n"/>
      <c r="T15" s="4" t="n"/>
      <c r="U15" s="8">
        <f>IF(AND(S15&lt;&gt;"", T15&lt;&gt;""), S15-T15, "")</f>
        <v/>
      </c>
      <c r="V15" s="8">
        <f>IF(AND(S15&lt;&gt;"", T15&lt;&gt;""), AVERAGE(S15,T15), "")</f>
        <v/>
      </c>
      <c r="W15" s="4" t="n"/>
      <c r="X15" s="4" t="n"/>
      <c r="Y15" s="8">
        <f>IF(AND(W15&lt;&gt;"", X15&lt;&gt;""), W15-X15, "")</f>
        <v/>
      </c>
      <c r="Z15" s="8">
        <f>IF(AND(W15&lt;&gt;"", X15&lt;&gt;""), AVERAGE(W15,X15), "")</f>
        <v/>
      </c>
    </row>
    <row r="16">
      <c r="A16" s="8" t="n">
        <v>12</v>
      </c>
      <c r="B16" s="3" t="inlineStr">
        <is>
          <t>Value Resilience</t>
        </is>
      </c>
      <c r="C16" s="3" t="inlineStr">
        <is>
          <t>Responsibility/Amanah</t>
        </is>
      </c>
      <c r="D16" s="8" t="inlineStr">
        <is>
          <t>VR-A4</t>
        </is>
      </c>
      <c r="E16" s="3" t="inlineStr">
        <is>
          <t>Menjaga kepercayaan
Saya menjaga kepercayaan yang diberikan kepada saya meskipun tidak ada pengawasan langsung.</t>
        </is>
      </c>
      <c r="F16" s="3" t="inlineStr">
        <is>
          <t>Menjaga kepercayaan
Etoser menjaga kepercayaan yang diberikan kepada Etoser meskipun tidak ada pengawasan langsung.</t>
        </is>
      </c>
      <c r="G16" s="4" t="n"/>
      <c r="H16" s="4" t="n"/>
      <c r="I16" s="8">
        <f>IF(AND(G16&lt;&gt;"", H16&lt;&gt;""), G16-H16, "")</f>
        <v/>
      </c>
      <c r="J16" s="8">
        <f>IF(AND(G16&lt;&gt;"", H16&lt;&gt;""), AVERAGE(G16,H16), "")</f>
        <v/>
      </c>
      <c r="K16" s="4" t="n"/>
      <c r="L16" s="4" t="n"/>
      <c r="M16" s="8">
        <f>IF(AND(K16&lt;&gt;"", L16&lt;&gt;""), K16-L16, "")</f>
        <v/>
      </c>
      <c r="N16" s="8">
        <f>IF(AND(K16&lt;&gt;"", L16&lt;&gt;""), AVERAGE(K16,L16), "")</f>
        <v/>
      </c>
      <c r="O16" s="4" t="n"/>
      <c r="P16" s="4" t="n"/>
      <c r="Q16" s="8">
        <f>IF(AND(O16&lt;&gt;"", P16&lt;&gt;""), O16-P16, "")</f>
        <v/>
      </c>
      <c r="R16" s="8">
        <f>IF(AND(O16&lt;&gt;"", P16&lt;&gt;""), AVERAGE(O16,P16), "")</f>
        <v/>
      </c>
      <c r="S16" s="4" t="n"/>
      <c r="T16" s="4" t="n"/>
      <c r="U16" s="8">
        <f>IF(AND(S16&lt;&gt;"", T16&lt;&gt;""), S16-T16, "")</f>
        <v/>
      </c>
      <c r="V16" s="8">
        <f>IF(AND(S16&lt;&gt;"", T16&lt;&gt;""), AVERAGE(S16,T16), "")</f>
        <v/>
      </c>
      <c r="W16" s="4" t="n"/>
      <c r="X16" s="4" t="n"/>
      <c r="Y16" s="8">
        <f>IF(AND(W16&lt;&gt;"", X16&lt;&gt;""), W16-X16, "")</f>
        <v/>
      </c>
      <c r="Z16" s="8">
        <f>IF(AND(W16&lt;&gt;"", X16&lt;&gt;""), AVERAGE(W16,X16), "")</f>
        <v/>
      </c>
    </row>
    <row r="17">
      <c r="A17" s="8" t="n">
        <v>13</v>
      </c>
      <c r="B17" s="3" t="inlineStr">
        <is>
          <t>Value Resilience</t>
        </is>
      </c>
      <c r="C17" s="3" t="inlineStr">
        <is>
          <t>Civic &amp; National Values</t>
        </is>
      </c>
      <c r="D17" s="8" t="inlineStr">
        <is>
          <t>VR-C1</t>
        </is>
      </c>
      <c r="E17" s="3" t="inlineStr">
        <is>
          <t>Menghargai perbedaan
Saya menghargai orang yang memiliki latar belakang, budaya, agama, atau pandangan yang berbeda dari saya.</t>
        </is>
      </c>
      <c r="F17" s="3" t="inlineStr">
        <is>
          <t>Menghargai perbedaan
Etoser menghargai orang yang memiliki latar belakang, budaya, agama, atau pandangan yang berbeda dari Etoser.</t>
        </is>
      </c>
      <c r="G17" s="4" t="n"/>
      <c r="H17" s="4" t="n"/>
      <c r="I17" s="8">
        <f>IF(AND(G17&lt;&gt;"", H17&lt;&gt;""), G17-H17, "")</f>
        <v/>
      </c>
      <c r="J17" s="8">
        <f>IF(AND(G17&lt;&gt;"", H17&lt;&gt;""), AVERAGE(G17,H17), "")</f>
        <v/>
      </c>
      <c r="K17" s="4" t="n"/>
      <c r="L17" s="4" t="n"/>
      <c r="M17" s="8">
        <f>IF(AND(K17&lt;&gt;"", L17&lt;&gt;""), K17-L17, "")</f>
        <v/>
      </c>
      <c r="N17" s="8">
        <f>IF(AND(K17&lt;&gt;"", L17&lt;&gt;""), AVERAGE(K17,L17), "")</f>
        <v/>
      </c>
      <c r="O17" s="4" t="n"/>
      <c r="P17" s="4" t="n"/>
      <c r="Q17" s="8">
        <f>IF(AND(O17&lt;&gt;"", P17&lt;&gt;""), O17-P17, "")</f>
        <v/>
      </c>
      <c r="R17" s="8">
        <f>IF(AND(O17&lt;&gt;"", P17&lt;&gt;""), AVERAGE(O17,P17), "")</f>
        <v/>
      </c>
      <c r="S17" s="4" t="n"/>
      <c r="T17" s="4" t="n"/>
      <c r="U17" s="8">
        <f>IF(AND(S17&lt;&gt;"", T17&lt;&gt;""), S17-T17, "")</f>
        <v/>
      </c>
      <c r="V17" s="8">
        <f>IF(AND(S17&lt;&gt;"", T17&lt;&gt;""), AVERAGE(S17,T17), "")</f>
        <v/>
      </c>
      <c r="W17" s="4" t="n"/>
      <c r="X17" s="4" t="n"/>
      <c r="Y17" s="8">
        <f>IF(AND(W17&lt;&gt;"", X17&lt;&gt;""), W17-X17, "")</f>
        <v/>
      </c>
      <c r="Z17" s="8">
        <f>IF(AND(W17&lt;&gt;"", X17&lt;&gt;""), AVERAGE(W17,X17), "")</f>
        <v/>
      </c>
    </row>
    <row r="18">
      <c r="A18" s="8" t="n">
        <v>14</v>
      </c>
      <c r="B18" s="3" t="inlineStr">
        <is>
          <t>Value Resilience</t>
        </is>
      </c>
      <c r="C18" s="3" t="inlineStr">
        <is>
          <t>Civic &amp; National Values</t>
        </is>
      </c>
      <c r="D18" s="8" t="inlineStr">
        <is>
          <t>VR-C2</t>
        </is>
      </c>
      <c r="E18" s="3" t="inlineStr">
        <is>
          <t>Kesadaran terhadap persoalan sosial
Saya berusaha memahami persoalan sosial yang terjadi di lingkungan, daerah, maupun bangsa saya.</t>
        </is>
      </c>
      <c r="F18" s="3" t="inlineStr">
        <is>
          <t>Kesadaran terhadap persoalan sosial
Etoser berusaha memahami persoalan sosial yang terjadi di lingkungan, daerah, maupun bangsa Etoser.</t>
        </is>
      </c>
      <c r="G18" s="4" t="n"/>
      <c r="H18" s="4" t="n"/>
      <c r="I18" s="8">
        <f>IF(AND(G18&lt;&gt;"", H18&lt;&gt;""), G18-H18, "")</f>
        <v/>
      </c>
      <c r="J18" s="8">
        <f>IF(AND(G18&lt;&gt;"", H18&lt;&gt;""), AVERAGE(G18,H18), "")</f>
        <v/>
      </c>
      <c r="K18" s="4" t="n"/>
      <c r="L18" s="4" t="n"/>
      <c r="M18" s="8">
        <f>IF(AND(K18&lt;&gt;"", L18&lt;&gt;""), K18-L18, "")</f>
        <v/>
      </c>
      <c r="N18" s="8">
        <f>IF(AND(K18&lt;&gt;"", L18&lt;&gt;""), AVERAGE(K18,L18), "")</f>
        <v/>
      </c>
      <c r="O18" s="4" t="n"/>
      <c r="P18" s="4" t="n"/>
      <c r="Q18" s="8">
        <f>IF(AND(O18&lt;&gt;"", P18&lt;&gt;""), O18-P18, "")</f>
        <v/>
      </c>
      <c r="R18" s="8">
        <f>IF(AND(O18&lt;&gt;"", P18&lt;&gt;""), AVERAGE(O18,P18), "")</f>
        <v/>
      </c>
      <c r="S18" s="4" t="n"/>
      <c r="T18" s="4" t="n"/>
      <c r="U18" s="8">
        <f>IF(AND(S18&lt;&gt;"", T18&lt;&gt;""), S18-T18, "")</f>
        <v/>
      </c>
      <c r="V18" s="8">
        <f>IF(AND(S18&lt;&gt;"", T18&lt;&gt;""), AVERAGE(S18,T18), "")</f>
        <v/>
      </c>
      <c r="W18" s="4" t="n"/>
      <c r="X18" s="4" t="n"/>
      <c r="Y18" s="8">
        <f>IF(AND(W18&lt;&gt;"", X18&lt;&gt;""), W18-X18, "")</f>
        <v/>
      </c>
      <c r="Z18" s="8">
        <f>IF(AND(W18&lt;&gt;"", X18&lt;&gt;""), AVERAGE(W18,X18), "")</f>
        <v/>
      </c>
    </row>
    <row r="19">
      <c r="A19" s="8" t="n">
        <v>15</v>
      </c>
      <c r="B19" s="3" t="inlineStr">
        <is>
          <t>Value Resilience</t>
        </is>
      </c>
      <c r="C19" s="3" t="inlineStr">
        <is>
          <t>Civic &amp; National Values</t>
        </is>
      </c>
      <c r="D19" s="8" t="inlineStr">
        <is>
          <t>VR-C3</t>
        </is>
      </c>
      <c r="E19" s="3" t="inlineStr">
        <is>
          <t>Kepentingan masyarakat
Saya mempertimbangkan kepentingan masyarakat ketika mengambil keputusan atau menjalankan peran saya.</t>
        </is>
      </c>
      <c r="F19" s="3" t="inlineStr">
        <is>
          <t>Kepentingan masyarakat
Etoser mempertimbangkan kepentingan masyarakat ketika mengambil keputusan atau menjalankan peran Etoser.</t>
        </is>
      </c>
      <c r="G19" s="4" t="n"/>
      <c r="H19" s="4" t="n"/>
      <c r="I19" s="8">
        <f>IF(AND(G19&lt;&gt;"", H19&lt;&gt;""), G19-H19, "")</f>
        <v/>
      </c>
      <c r="J19" s="8">
        <f>IF(AND(G19&lt;&gt;"", H19&lt;&gt;""), AVERAGE(G19,H19), "")</f>
        <v/>
      </c>
      <c r="K19" s="4" t="n"/>
      <c r="L19" s="4" t="n"/>
      <c r="M19" s="8">
        <f>IF(AND(K19&lt;&gt;"", L19&lt;&gt;""), K19-L19, "")</f>
        <v/>
      </c>
      <c r="N19" s="8">
        <f>IF(AND(K19&lt;&gt;"", L19&lt;&gt;""), AVERAGE(K19,L19), "")</f>
        <v/>
      </c>
      <c r="O19" s="4" t="n"/>
      <c r="P19" s="4" t="n"/>
      <c r="Q19" s="8">
        <f>IF(AND(O19&lt;&gt;"", P19&lt;&gt;""), O19-P19, "")</f>
        <v/>
      </c>
      <c r="R19" s="8">
        <f>IF(AND(O19&lt;&gt;"", P19&lt;&gt;""), AVERAGE(O19,P19), "")</f>
        <v/>
      </c>
      <c r="S19" s="4" t="n"/>
      <c r="T19" s="4" t="n"/>
      <c r="U19" s="8">
        <f>IF(AND(S19&lt;&gt;"", T19&lt;&gt;""), S19-T19, "")</f>
        <v/>
      </c>
      <c r="V19" s="8">
        <f>IF(AND(S19&lt;&gt;"", T19&lt;&gt;""), AVERAGE(S19,T19), "")</f>
        <v/>
      </c>
      <c r="W19" s="4" t="n"/>
      <c r="X19" s="4" t="n"/>
      <c r="Y19" s="8">
        <f>IF(AND(W19&lt;&gt;"", X19&lt;&gt;""), W19-X19, "")</f>
        <v/>
      </c>
      <c r="Z19" s="8">
        <f>IF(AND(W19&lt;&gt;"", X19&lt;&gt;""), AVERAGE(W19,X19), "")</f>
        <v/>
      </c>
    </row>
    <row r="20">
      <c r="A20" s="8" t="n">
        <v>16</v>
      </c>
      <c r="B20" s="3" t="inlineStr">
        <is>
          <t>Value Resilience</t>
        </is>
      </c>
      <c r="C20" s="3" t="inlineStr">
        <is>
          <t>Civic &amp; National Values</t>
        </is>
      </c>
      <c r="D20" s="8" t="inlineStr">
        <is>
          <t>VR-C4</t>
        </is>
      </c>
      <c r="E20" s="3" t="inlineStr">
        <is>
          <t>Orientasi kontribusi kebangsaan
Saya memiliki kemauan untuk menggunakan kapasitas saya bagi kemajuan daerah dan masyarakat Indonesia.</t>
        </is>
      </c>
      <c r="F20" s="3" t="inlineStr">
        <is>
          <t>Orientasi kontribusi kebangsaan
Etoser memiliki kemauan untuk menggunakan kapasitas Etoser bagi kemajuan daerah dan masyarakat Indonesia.</t>
        </is>
      </c>
      <c r="G20" s="4" t="n"/>
      <c r="H20" s="4" t="n"/>
      <c r="I20" s="8">
        <f>IF(AND(G20&lt;&gt;"", H20&lt;&gt;""), G20-H20, "")</f>
        <v/>
      </c>
      <c r="J20" s="8">
        <f>IF(AND(G20&lt;&gt;"", H20&lt;&gt;""), AVERAGE(G20,H20), "")</f>
        <v/>
      </c>
      <c r="K20" s="4" t="n"/>
      <c r="L20" s="4" t="n"/>
      <c r="M20" s="8">
        <f>IF(AND(K20&lt;&gt;"", L20&lt;&gt;""), K20-L20, "")</f>
        <v/>
      </c>
      <c r="N20" s="8">
        <f>IF(AND(K20&lt;&gt;"", L20&lt;&gt;""), AVERAGE(K20,L20), "")</f>
        <v/>
      </c>
      <c r="O20" s="4" t="n"/>
      <c r="P20" s="4" t="n"/>
      <c r="Q20" s="8">
        <f>IF(AND(O20&lt;&gt;"", P20&lt;&gt;""), O20-P20, "")</f>
        <v/>
      </c>
      <c r="R20" s="8">
        <f>IF(AND(O20&lt;&gt;"", P20&lt;&gt;""), AVERAGE(O20,P20), "")</f>
        <v/>
      </c>
      <c r="S20" s="4" t="n"/>
      <c r="T20" s="4" t="n"/>
      <c r="U20" s="8">
        <f>IF(AND(S20&lt;&gt;"", T20&lt;&gt;""), S20-T20, "")</f>
        <v/>
      </c>
      <c r="V20" s="8">
        <f>IF(AND(S20&lt;&gt;"", T20&lt;&gt;""), AVERAGE(S20,T20), "")</f>
        <v/>
      </c>
      <c r="W20" s="4" t="n"/>
      <c r="X20" s="4" t="n"/>
      <c r="Y20" s="8">
        <f>IF(AND(W20&lt;&gt;"", X20&lt;&gt;""), W20-X20, "")</f>
        <v/>
      </c>
      <c r="Z20" s="8">
        <f>IF(AND(W20&lt;&gt;"", X20&lt;&gt;""), AVERAGE(W20,X20), "")</f>
        <v/>
      </c>
    </row>
    <row r="21">
      <c r="A21" s="8" t="n">
        <v>17</v>
      </c>
      <c r="B21" s="3" t="inlineStr">
        <is>
          <t>Self Resilience</t>
        </is>
      </c>
      <c r="C21" s="3" t="inlineStr">
        <is>
          <t>Self-Awareness</t>
        </is>
      </c>
      <c r="D21" s="8" t="inlineStr">
        <is>
          <t>SR-A1</t>
        </is>
      </c>
      <c r="E21" s="3" t="inlineStr">
        <is>
          <t>Mengenali kekuatan diri
Saya memahami kekuatan utama yang dapat saya gunakan untuk mencapai tujuan hidup saya.</t>
        </is>
      </c>
      <c r="F21" s="3" t="inlineStr">
        <is>
          <t>Mengenali kekuatan diri
Etoser memahami kekuatan utama yang dapat Etoser gunakan untuk mencapai tujuan hidup Etoser.</t>
        </is>
      </c>
      <c r="G21" s="4" t="n"/>
      <c r="H21" s="4" t="n"/>
      <c r="I21" s="8">
        <f>IF(AND(G21&lt;&gt;"", H21&lt;&gt;""), G21-H21, "")</f>
        <v/>
      </c>
      <c r="J21" s="8">
        <f>IF(AND(G21&lt;&gt;"", H21&lt;&gt;""), AVERAGE(G21,H21), "")</f>
        <v/>
      </c>
      <c r="K21" s="4" t="n"/>
      <c r="L21" s="4" t="n"/>
      <c r="M21" s="8">
        <f>IF(AND(K21&lt;&gt;"", L21&lt;&gt;""), K21-L21, "")</f>
        <v/>
      </c>
      <c r="N21" s="8">
        <f>IF(AND(K21&lt;&gt;"", L21&lt;&gt;""), AVERAGE(K21,L21), "")</f>
        <v/>
      </c>
      <c r="O21" s="4" t="n"/>
      <c r="P21" s="4" t="n"/>
      <c r="Q21" s="8">
        <f>IF(AND(O21&lt;&gt;"", P21&lt;&gt;""), O21-P21, "")</f>
        <v/>
      </c>
      <c r="R21" s="8">
        <f>IF(AND(O21&lt;&gt;"", P21&lt;&gt;""), AVERAGE(O21,P21), "")</f>
        <v/>
      </c>
      <c r="S21" s="4" t="n"/>
      <c r="T21" s="4" t="n"/>
      <c r="U21" s="8">
        <f>IF(AND(S21&lt;&gt;"", T21&lt;&gt;""), S21-T21, "")</f>
        <v/>
      </c>
      <c r="V21" s="8">
        <f>IF(AND(S21&lt;&gt;"", T21&lt;&gt;""), AVERAGE(S21,T21), "")</f>
        <v/>
      </c>
      <c r="W21" s="4" t="n"/>
      <c r="X21" s="4" t="n"/>
      <c r="Y21" s="8">
        <f>IF(AND(W21&lt;&gt;"", X21&lt;&gt;""), W21-X21, "")</f>
        <v/>
      </c>
      <c r="Z21" s="8">
        <f>IF(AND(W21&lt;&gt;"", X21&lt;&gt;""), AVERAGE(W21,X21), "")</f>
        <v/>
      </c>
    </row>
    <row r="22">
      <c r="A22" s="8" t="n">
        <v>18</v>
      </c>
      <c r="B22" s="3" t="inlineStr">
        <is>
          <t>Self Resilience</t>
        </is>
      </c>
      <c r="C22" s="3" t="inlineStr">
        <is>
          <t>Self-Awareness</t>
        </is>
      </c>
      <c r="D22" s="8" t="inlineStr">
        <is>
          <t>SR-A2</t>
        </is>
      </c>
      <c r="E22" s="3" t="inlineStr">
        <is>
          <t>Mengenali keterbatasan diri
Saya mengenali kelemahan atau keterbatasan diri yang dapat menghambat perkembangan saya.</t>
        </is>
      </c>
      <c r="F22" s="3" t="inlineStr">
        <is>
          <t>Mengenali keterbatasan diri
Etoser mengenali kelemahan atau keterbatasan diri yang dapat menghambat perkembangan Etoser.</t>
        </is>
      </c>
      <c r="G22" s="4" t="n"/>
      <c r="H22" s="4" t="n"/>
      <c r="I22" s="8">
        <f>IF(AND(G22&lt;&gt;"", H22&lt;&gt;""), G22-H22, "")</f>
        <v/>
      </c>
      <c r="J22" s="8">
        <f>IF(AND(G22&lt;&gt;"", H22&lt;&gt;""), AVERAGE(G22,H22), "")</f>
        <v/>
      </c>
      <c r="K22" s="4" t="n"/>
      <c r="L22" s="4" t="n"/>
      <c r="M22" s="8">
        <f>IF(AND(K22&lt;&gt;"", L22&lt;&gt;""), K22-L22, "")</f>
        <v/>
      </c>
      <c r="N22" s="8">
        <f>IF(AND(K22&lt;&gt;"", L22&lt;&gt;""), AVERAGE(K22,L22), "")</f>
        <v/>
      </c>
      <c r="O22" s="4" t="n"/>
      <c r="P22" s="4" t="n"/>
      <c r="Q22" s="8">
        <f>IF(AND(O22&lt;&gt;"", P22&lt;&gt;""), O22-P22, "")</f>
        <v/>
      </c>
      <c r="R22" s="8">
        <f>IF(AND(O22&lt;&gt;"", P22&lt;&gt;""), AVERAGE(O22,P22), "")</f>
        <v/>
      </c>
      <c r="S22" s="4" t="n"/>
      <c r="T22" s="4" t="n"/>
      <c r="U22" s="8">
        <f>IF(AND(S22&lt;&gt;"", T22&lt;&gt;""), S22-T22, "")</f>
        <v/>
      </c>
      <c r="V22" s="8">
        <f>IF(AND(S22&lt;&gt;"", T22&lt;&gt;""), AVERAGE(S22,T22), "")</f>
        <v/>
      </c>
      <c r="W22" s="4" t="n"/>
      <c r="X22" s="4" t="n"/>
      <c r="Y22" s="8">
        <f>IF(AND(W22&lt;&gt;"", X22&lt;&gt;""), W22-X22, "")</f>
        <v/>
      </c>
      <c r="Z22" s="8">
        <f>IF(AND(W22&lt;&gt;"", X22&lt;&gt;""), AVERAGE(W22,X22), "")</f>
        <v/>
      </c>
    </row>
    <row r="23">
      <c r="A23" s="8" t="n">
        <v>19</v>
      </c>
      <c r="B23" s="3" t="inlineStr">
        <is>
          <t>Self Resilience</t>
        </is>
      </c>
      <c r="C23" s="3" t="inlineStr">
        <is>
          <t>Self-Awareness</t>
        </is>
      </c>
      <c r="D23" s="8" t="inlineStr">
        <is>
          <t>SR-A3</t>
        </is>
      </c>
      <c r="E23" s="3" t="inlineStr">
        <is>
          <t>Refleksi diri
Saya secara berkala melakukan refleksi terhadap keputusan, perilaku, dan perkembangan diri saya.</t>
        </is>
      </c>
      <c r="F23" s="3" t="inlineStr">
        <is>
          <t>Refleksi diri
Etoser secara berkala melakukan refleksi terhadap keputusan, perilaku, dan perkembangan diri Etoser.</t>
        </is>
      </c>
      <c r="G23" s="4" t="n"/>
      <c r="H23" s="4" t="n"/>
      <c r="I23" s="8">
        <f>IF(AND(G23&lt;&gt;"", H23&lt;&gt;""), G23-H23, "")</f>
        <v/>
      </c>
      <c r="J23" s="8">
        <f>IF(AND(G23&lt;&gt;"", H23&lt;&gt;""), AVERAGE(G23,H23), "")</f>
        <v/>
      </c>
      <c r="K23" s="4" t="n"/>
      <c r="L23" s="4" t="n"/>
      <c r="M23" s="8">
        <f>IF(AND(K23&lt;&gt;"", L23&lt;&gt;""), K23-L23, "")</f>
        <v/>
      </c>
      <c r="N23" s="8">
        <f>IF(AND(K23&lt;&gt;"", L23&lt;&gt;""), AVERAGE(K23,L23), "")</f>
        <v/>
      </c>
      <c r="O23" s="4" t="n"/>
      <c r="P23" s="4" t="n"/>
      <c r="Q23" s="8">
        <f>IF(AND(O23&lt;&gt;"", P23&lt;&gt;""), O23-P23, "")</f>
        <v/>
      </c>
      <c r="R23" s="8">
        <f>IF(AND(O23&lt;&gt;"", P23&lt;&gt;""), AVERAGE(O23,P23), "")</f>
        <v/>
      </c>
      <c r="S23" s="4" t="n"/>
      <c r="T23" s="4" t="n"/>
      <c r="U23" s="8">
        <f>IF(AND(S23&lt;&gt;"", T23&lt;&gt;""), S23-T23, "")</f>
        <v/>
      </c>
      <c r="V23" s="8">
        <f>IF(AND(S23&lt;&gt;"", T23&lt;&gt;""), AVERAGE(S23,T23), "")</f>
        <v/>
      </c>
      <c r="W23" s="4" t="n"/>
      <c r="X23" s="4" t="n"/>
      <c r="Y23" s="8">
        <f>IF(AND(W23&lt;&gt;"", X23&lt;&gt;""), W23-X23, "")</f>
        <v/>
      </c>
      <c r="Z23" s="8">
        <f>IF(AND(W23&lt;&gt;"", X23&lt;&gt;""), AVERAGE(W23,X23), "")</f>
        <v/>
      </c>
    </row>
    <row r="24">
      <c r="A24" s="8" t="n">
        <v>20</v>
      </c>
      <c r="B24" s="3" t="inlineStr">
        <is>
          <t>Self Resilience</t>
        </is>
      </c>
      <c r="C24" s="3" t="inlineStr">
        <is>
          <t>Self-Awareness</t>
        </is>
      </c>
      <c r="D24" s="8" t="inlineStr">
        <is>
          <t>SR-A4</t>
        </is>
      </c>
      <c r="E24" s="3" t="inlineStr">
        <is>
          <t>Menerima feedback
Saya terbuka menerima kritik dan menggunakannya untuk memperbaiki diri.</t>
        </is>
      </c>
      <c r="F24" s="3" t="inlineStr">
        <is>
          <t>Menerima feedback
Etoser terbuka menerima kritik dan menggunakannya untuk memperbaiki diri.</t>
        </is>
      </c>
      <c r="G24" s="4" t="n"/>
      <c r="H24" s="4" t="n"/>
      <c r="I24" s="8">
        <f>IF(AND(G24&lt;&gt;"", H24&lt;&gt;""), G24-H24, "")</f>
        <v/>
      </c>
      <c r="J24" s="8">
        <f>IF(AND(G24&lt;&gt;"", H24&lt;&gt;""), AVERAGE(G24,H24), "")</f>
        <v/>
      </c>
      <c r="K24" s="4" t="n"/>
      <c r="L24" s="4" t="n"/>
      <c r="M24" s="8">
        <f>IF(AND(K24&lt;&gt;"", L24&lt;&gt;""), K24-L24, "")</f>
        <v/>
      </c>
      <c r="N24" s="8">
        <f>IF(AND(K24&lt;&gt;"", L24&lt;&gt;""), AVERAGE(K24,L24), "")</f>
        <v/>
      </c>
      <c r="O24" s="4" t="n"/>
      <c r="P24" s="4" t="n"/>
      <c r="Q24" s="8">
        <f>IF(AND(O24&lt;&gt;"", P24&lt;&gt;""), O24-P24, "")</f>
        <v/>
      </c>
      <c r="R24" s="8">
        <f>IF(AND(O24&lt;&gt;"", P24&lt;&gt;""), AVERAGE(O24,P24), "")</f>
        <v/>
      </c>
      <c r="S24" s="4" t="n"/>
      <c r="T24" s="4" t="n"/>
      <c r="U24" s="8">
        <f>IF(AND(S24&lt;&gt;"", T24&lt;&gt;""), S24-T24, "")</f>
        <v/>
      </c>
      <c r="V24" s="8">
        <f>IF(AND(S24&lt;&gt;"", T24&lt;&gt;""), AVERAGE(S24,T24), "")</f>
        <v/>
      </c>
      <c r="W24" s="4" t="n"/>
      <c r="X24" s="4" t="n"/>
      <c r="Y24" s="8">
        <f>IF(AND(W24&lt;&gt;"", X24&lt;&gt;""), W24-X24, "")</f>
        <v/>
      </c>
      <c r="Z24" s="8">
        <f>IF(AND(W24&lt;&gt;"", X24&lt;&gt;""), AVERAGE(W24,X24), "")</f>
        <v/>
      </c>
    </row>
    <row r="25">
      <c r="A25" s="8" t="n">
        <v>21</v>
      </c>
      <c r="B25" s="3" t="inlineStr">
        <is>
          <t>Self Resilience</t>
        </is>
      </c>
      <c r="C25" s="3" t="inlineStr">
        <is>
          <t>Growth &amp; Learning</t>
        </is>
      </c>
      <c r="D25" s="8" t="inlineStr">
        <is>
          <t>SR-G1</t>
        </is>
      </c>
      <c r="E25" s="3" t="inlineStr">
        <is>
          <t>Inisiatif belajar
Saya mencari kesempatan belajar yang relevan dengan kebutuhan dan tujuan saya.</t>
        </is>
      </c>
      <c r="F25" s="3" t="inlineStr">
        <is>
          <t>Inisiatif belajar
Etoser mencari kesempatan belajar yang relevan dengan kebutuhan dan tujuan Etoser.</t>
        </is>
      </c>
      <c r="G25" s="4" t="n"/>
      <c r="H25" s="4" t="n"/>
      <c r="I25" s="8">
        <f>IF(AND(G25&lt;&gt;"", H25&lt;&gt;""), G25-H25, "")</f>
        <v/>
      </c>
      <c r="J25" s="8">
        <f>IF(AND(G25&lt;&gt;"", H25&lt;&gt;""), AVERAGE(G25,H25), "")</f>
        <v/>
      </c>
      <c r="K25" s="4" t="n"/>
      <c r="L25" s="4" t="n"/>
      <c r="M25" s="8">
        <f>IF(AND(K25&lt;&gt;"", L25&lt;&gt;""), K25-L25, "")</f>
        <v/>
      </c>
      <c r="N25" s="8">
        <f>IF(AND(K25&lt;&gt;"", L25&lt;&gt;""), AVERAGE(K25,L25), "")</f>
        <v/>
      </c>
      <c r="O25" s="4" t="n"/>
      <c r="P25" s="4" t="n"/>
      <c r="Q25" s="8">
        <f>IF(AND(O25&lt;&gt;"", P25&lt;&gt;""), O25-P25, "")</f>
        <v/>
      </c>
      <c r="R25" s="8">
        <f>IF(AND(O25&lt;&gt;"", P25&lt;&gt;""), AVERAGE(O25,P25), "")</f>
        <v/>
      </c>
      <c r="S25" s="4" t="n"/>
      <c r="T25" s="4" t="n"/>
      <c r="U25" s="8">
        <f>IF(AND(S25&lt;&gt;"", T25&lt;&gt;""), S25-T25, "")</f>
        <v/>
      </c>
      <c r="V25" s="8">
        <f>IF(AND(S25&lt;&gt;"", T25&lt;&gt;""), AVERAGE(S25,T25), "")</f>
        <v/>
      </c>
      <c r="W25" s="4" t="n"/>
      <c r="X25" s="4" t="n"/>
      <c r="Y25" s="8">
        <f>IF(AND(W25&lt;&gt;"", X25&lt;&gt;""), W25-X25, "")</f>
        <v/>
      </c>
      <c r="Z25" s="8">
        <f>IF(AND(W25&lt;&gt;"", X25&lt;&gt;""), AVERAGE(W25,X25), "")</f>
        <v/>
      </c>
    </row>
    <row r="26">
      <c r="A26" s="8" t="n">
        <v>22</v>
      </c>
      <c r="B26" s="3" t="inlineStr">
        <is>
          <t>Self Resilience</t>
        </is>
      </c>
      <c r="C26" s="3" t="inlineStr">
        <is>
          <t>Growth &amp; Learning</t>
        </is>
      </c>
      <c r="D26" s="8" t="inlineStr">
        <is>
          <t>SR-G2</t>
        </is>
      </c>
      <c r="E26" s="3" t="inlineStr">
        <is>
          <t>Belajar dari kegagalan
Saya tetap berusaha belajar setelah mengalami kegagalan atau hasil yang tidak sesuai harapan.</t>
        </is>
      </c>
      <c r="F26" s="3" t="inlineStr">
        <is>
          <t>Belajar dari kegagalan
Etoser tetap berusaha belajar setelah mengalami kegagalan atau hasil yang tidak sesuai harapan.</t>
        </is>
      </c>
      <c r="G26" s="4" t="n"/>
      <c r="H26" s="4" t="n"/>
      <c r="I26" s="8">
        <f>IF(AND(G26&lt;&gt;"", H26&lt;&gt;""), G26-H26, "")</f>
        <v/>
      </c>
      <c r="J26" s="8">
        <f>IF(AND(G26&lt;&gt;"", H26&lt;&gt;""), AVERAGE(G26,H26), "")</f>
        <v/>
      </c>
      <c r="K26" s="4" t="n"/>
      <c r="L26" s="4" t="n"/>
      <c r="M26" s="8">
        <f>IF(AND(K26&lt;&gt;"", L26&lt;&gt;""), K26-L26, "")</f>
        <v/>
      </c>
      <c r="N26" s="8">
        <f>IF(AND(K26&lt;&gt;"", L26&lt;&gt;""), AVERAGE(K26,L26), "")</f>
        <v/>
      </c>
      <c r="O26" s="4" t="n"/>
      <c r="P26" s="4" t="n"/>
      <c r="Q26" s="8">
        <f>IF(AND(O26&lt;&gt;"", P26&lt;&gt;""), O26-P26, "")</f>
        <v/>
      </c>
      <c r="R26" s="8">
        <f>IF(AND(O26&lt;&gt;"", P26&lt;&gt;""), AVERAGE(O26,P26), "")</f>
        <v/>
      </c>
      <c r="S26" s="4" t="n"/>
      <c r="T26" s="4" t="n"/>
      <c r="U26" s="8">
        <f>IF(AND(S26&lt;&gt;"", T26&lt;&gt;""), S26-T26, "")</f>
        <v/>
      </c>
      <c r="V26" s="8">
        <f>IF(AND(S26&lt;&gt;"", T26&lt;&gt;""), AVERAGE(S26,T26), "")</f>
        <v/>
      </c>
      <c r="W26" s="4" t="n"/>
      <c r="X26" s="4" t="n"/>
      <c r="Y26" s="8">
        <f>IF(AND(W26&lt;&gt;"", X26&lt;&gt;""), W26-X26, "")</f>
        <v/>
      </c>
      <c r="Z26" s="8">
        <f>IF(AND(W26&lt;&gt;"", X26&lt;&gt;""), AVERAGE(W26,X26), "")</f>
        <v/>
      </c>
    </row>
    <row r="27">
      <c r="A27" s="8" t="n">
        <v>23</v>
      </c>
      <c r="B27" s="3" t="inlineStr">
        <is>
          <t>Self Resilience</t>
        </is>
      </c>
      <c r="C27" s="3" t="inlineStr">
        <is>
          <t>Growth &amp; Learning</t>
        </is>
      </c>
      <c r="D27" s="8" t="inlineStr">
        <is>
          <t>SR-G3</t>
        </is>
      </c>
      <c r="E27" s="3" t="inlineStr">
        <is>
          <t>Eksperimentasi
Saya mencoba pendekatan baru ketika cara yang saya gunakan sebelumnya tidak memberikan hasil yang baik.</t>
        </is>
      </c>
      <c r="F27" s="3" t="inlineStr">
        <is>
          <t>Eksperimentasi
Etoser mencoba pendekatan baru ketika cara yang Etoser gunakan sebelumnya tidak memberikan hasil yang baik.</t>
        </is>
      </c>
      <c r="G27" s="4" t="n"/>
      <c r="H27" s="4" t="n"/>
      <c r="I27" s="8">
        <f>IF(AND(G27&lt;&gt;"", H27&lt;&gt;""), G27-H27, "")</f>
        <v/>
      </c>
      <c r="J27" s="8">
        <f>IF(AND(G27&lt;&gt;"", H27&lt;&gt;""), AVERAGE(G27,H27), "")</f>
        <v/>
      </c>
      <c r="K27" s="4" t="n"/>
      <c r="L27" s="4" t="n"/>
      <c r="M27" s="8">
        <f>IF(AND(K27&lt;&gt;"", L27&lt;&gt;""), K27-L27, "")</f>
        <v/>
      </c>
      <c r="N27" s="8">
        <f>IF(AND(K27&lt;&gt;"", L27&lt;&gt;""), AVERAGE(K27,L27), "")</f>
        <v/>
      </c>
      <c r="O27" s="4" t="n"/>
      <c r="P27" s="4" t="n"/>
      <c r="Q27" s="8">
        <f>IF(AND(O27&lt;&gt;"", P27&lt;&gt;""), O27-P27, "")</f>
        <v/>
      </c>
      <c r="R27" s="8">
        <f>IF(AND(O27&lt;&gt;"", P27&lt;&gt;""), AVERAGE(O27,P27), "")</f>
        <v/>
      </c>
      <c r="S27" s="4" t="n"/>
      <c r="T27" s="4" t="n"/>
      <c r="U27" s="8">
        <f>IF(AND(S27&lt;&gt;"", T27&lt;&gt;""), S27-T27, "")</f>
        <v/>
      </c>
      <c r="V27" s="8">
        <f>IF(AND(S27&lt;&gt;"", T27&lt;&gt;""), AVERAGE(S27,T27), "")</f>
        <v/>
      </c>
      <c r="W27" s="4" t="n"/>
      <c r="X27" s="4" t="n"/>
      <c r="Y27" s="8">
        <f>IF(AND(W27&lt;&gt;"", X27&lt;&gt;""), W27-X27, "")</f>
        <v/>
      </c>
      <c r="Z27" s="8">
        <f>IF(AND(W27&lt;&gt;"", X27&lt;&gt;""), AVERAGE(W27,X27), "")</f>
        <v/>
      </c>
    </row>
    <row r="28">
      <c r="A28" s="8" t="n">
        <v>24</v>
      </c>
      <c r="B28" s="3" t="inlineStr">
        <is>
          <t>Self Resilience</t>
        </is>
      </c>
      <c r="C28" s="3" t="inlineStr">
        <is>
          <t>Growth &amp; Learning</t>
        </is>
      </c>
      <c r="D28" s="8" t="inlineStr">
        <is>
          <t>SR-G4</t>
        </is>
      </c>
      <c r="E28" s="3" t="inlineStr">
        <is>
          <t>Mengubah pengalaman menjadi pembelajaran
Saya mengubah pengalaman, termasuk kesalahan dan kegagalan, menjadi pembelajaran untuk menghadapi tantangan berikutnya.</t>
        </is>
      </c>
      <c r="F28" s="3" t="inlineStr">
        <is>
          <t>Mengubah pengalaman menjadi pembelajaran
Etoser mengubah pengalaman, termasuk kesalahan dan kegagalan, menjadi pembelajaran untuk menghadapi tantangan berikutnya.</t>
        </is>
      </c>
      <c r="G28" s="4" t="n"/>
      <c r="H28" s="4" t="n"/>
      <c r="I28" s="8">
        <f>IF(AND(G28&lt;&gt;"", H28&lt;&gt;""), G28-H28, "")</f>
        <v/>
      </c>
      <c r="J28" s="8">
        <f>IF(AND(G28&lt;&gt;"", H28&lt;&gt;""), AVERAGE(G28,H28), "")</f>
        <v/>
      </c>
      <c r="K28" s="4" t="n"/>
      <c r="L28" s="4" t="n"/>
      <c r="M28" s="8">
        <f>IF(AND(K28&lt;&gt;"", L28&lt;&gt;""), K28-L28, "")</f>
        <v/>
      </c>
      <c r="N28" s="8">
        <f>IF(AND(K28&lt;&gt;"", L28&lt;&gt;""), AVERAGE(K28,L28), "")</f>
        <v/>
      </c>
      <c r="O28" s="4" t="n"/>
      <c r="P28" s="4" t="n"/>
      <c r="Q28" s="8">
        <f>IF(AND(O28&lt;&gt;"", P28&lt;&gt;""), O28-P28, "")</f>
        <v/>
      </c>
      <c r="R28" s="8">
        <f>IF(AND(O28&lt;&gt;"", P28&lt;&gt;""), AVERAGE(O28,P28), "")</f>
        <v/>
      </c>
      <c r="S28" s="4" t="n"/>
      <c r="T28" s="4" t="n"/>
      <c r="U28" s="8">
        <f>IF(AND(S28&lt;&gt;"", T28&lt;&gt;""), S28-T28, "")</f>
        <v/>
      </c>
      <c r="V28" s="8">
        <f>IF(AND(S28&lt;&gt;"", T28&lt;&gt;""), AVERAGE(S28,T28), "")</f>
        <v/>
      </c>
      <c r="W28" s="4" t="n"/>
      <c r="X28" s="4" t="n"/>
      <c r="Y28" s="8">
        <f>IF(AND(W28&lt;&gt;"", X28&lt;&gt;""), W28-X28, "")</f>
        <v/>
      </c>
      <c r="Z28" s="8">
        <f>IF(AND(W28&lt;&gt;"", X28&lt;&gt;""), AVERAGE(W28,X28), "")</f>
        <v/>
      </c>
    </row>
    <row r="29">
      <c r="A29" s="8" t="n">
        <v>25</v>
      </c>
      <c r="B29" s="3" t="inlineStr">
        <is>
          <t>Self Resilience</t>
        </is>
      </c>
      <c r="C29" s="3" t="inlineStr">
        <is>
          <t>Self-Management</t>
        </is>
      </c>
      <c r="D29" s="8" t="inlineStr">
        <is>
          <t>SR-M1</t>
        </is>
      </c>
      <c r="E29" s="3" t="inlineStr">
        <is>
          <t>Manajemen prioritas
Saya mampu mengatur waktu dan prioritas antara akademik, pekerjaan, organisasi, keluarga, dan kehidupan pribadi.</t>
        </is>
      </c>
      <c r="F29" s="3" t="inlineStr">
        <is>
          <t>Manajemen prioritas
Etoser mampu mengatur waktu dan prioritas antara akademik, pekerjaan, organisasi, keluarga, dan kehidupan pribadi.</t>
        </is>
      </c>
      <c r="G29" s="4" t="n"/>
      <c r="H29" s="4" t="n"/>
      <c r="I29" s="8">
        <f>IF(AND(G29&lt;&gt;"", H29&lt;&gt;""), G29-H29, "")</f>
        <v/>
      </c>
      <c r="J29" s="8">
        <f>IF(AND(G29&lt;&gt;"", H29&lt;&gt;""), AVERAGE(G29,H29), "")</f>
        <v/>
      </c>
      <c r="K29" s="4" t="n"/>
      <c r="L29" s="4" t="n"/>
      <c r="M29" s="8">
        <f>IF(AND(K29&lt;&gt;"", L29&lt;&gt;""), K29-L29, "")</f>
        <v/>
      </c>
      <c r="N29" s="8">
        <f>IF(AND(K29&lt;&gt;"", L29&lt;&gt;""), AVERAGE(K29,L29), "")</f>
        <v/>
      </c>
      <c r="O29" s="4" t="n"/>
      <c r="P29" s="4" t="n"/>
      <c r="Q29" s="8">
        <f>IF(AND(O29&lt;&gt;"", P29&lt;&gt;""), O29-P29, "")</f>
        <v/>
      </c>
      <c r="R29" s="8">
        <f>IF(AND(O29&lt;&gt;"", P29&lt;&gt;""), AVERAGE(O29,P29), "")</f>
        <v/>
      </c>
      <c r="S29" s="4" t="n"/>
      <c r="T29" s="4" t="n"/>
      <c r="U29" s="8">
        <f>IF(AND(S29&lt;&gt;"", T29&lt;&gt;""), S29-T29, "")</f>
        <v/>
      </c>
      <c r="V29" s="8">
        <f>IF(AND(S29&lt;&gt;"", T29&lt;&gt;""), AVERAGE(S29,T29), "")</f>
        <v/>
      </c>
      <c r="W29" s="4" t="n"/>
      <c r="X29" s="4" t="n"/>
      <c r="Y29" s="8">
        <f>IF(AND(W29&lt;&gt;"", X29&lt;&gt;""), W29-X29, "")</f>
        <v/>
      </c>
      <c r="Z29" s="8">
        <f>IF(AND(W29&lt;&gt;"", X29&lt;&gt;""), AVERAGE(W29,X29), "")</f>
        <v/>
      </c>
    </row>
    <row r="30">
      <c r="A30" s="8" t="n">
        <v>26</v>
      </c>
      <c r="B30" s="3" t="inlineStr">
        <is>
          <t>Self Resilience</t>
        </is>
      </c>
      <c r="C30" s="3" t="inlineStr">
        <is>
          <t>Self-Management</t>
        </is>
      </c>
      <c r="D30" s="8" t="inlineStr">
        <is>
          <t>SR-M2</t>
        </is>
      </c>
      <c r="E30" s="3" t="inlineStr">
        <is>
          <t>Produktivitas dalam tekanan
Saya mampu menjaga produktivitas ketika menghadapi tekanan atau banyak tanggung jawab.</t>
        </is>
      </c>
      <c r="F30" s="3" t="inlineStr">
        <is>
          <t>Produktivitas dalam tekanan
Etoser mampu menjaga produktivitas ketika menghadapi tekanan atau banyak tanggung jawab.</t>
        </is>
      </c>
      <c r="G30" s="4" t="n"/>
      <c r="H30" s="4" t="n"/>
      <c r="I30" s="8">
        <f>IF(AND(G30&lt;&gt;"", H30&lt;&gt;""), G30-H30, "")</f>
        <v/>
      </c>
      <c r="J30" s="8">
        <f>IF(AND(G30&lt;&gt;"", H30&lt;&gt;""), AVERAGE(G30,H30), "")</f>
        <v/>
      </c>
      <c r="K30" s="4" t="n"/>
      <c r="L30" s="4" t="n"/>
      <c r="M30" s="8">
        <f>IF(AND(K30&lt;&gt;"", L30&lt;&gt;""), K30-L30, "")</f>
        <v/>
      </c>
      <c r="N30" s="8">
        <f>IF(AND(K30&lt;&gt;"", L30&lt;&gt;""), AVERAGE(K30,L30), "")</f>
        <v/>
      </c>
      <c r="O30" s="4" t="n"/>
      <c r="P30" s="4" t="n"/>
      <c r="Q30" s="8">
        <f>IF(AND(O30&lt;&gt;"", P30&lt;&gt;""), O30-P30, "")</f>
        <v/>
      </c>
      <c r="R30" s="8">
        <f>IF(AND(O30&lt;&gt;"", P30&lt;&gt;""), AVERAGE(O30,P30), "")</f>
        <v/>
      </c>
      <c r="S30" s="4" t="n"/>
      <c r="T30" s="4" t="n"/>
      <c r="U30" s="8">
        <f>IF(AND(S30&lt;&gt;"", T30&lt;&gt;""), S30-T30, "")</f>
        <v/>
      </c>
      <c r="V30" s="8">
        <f>IF(AND(S30&lt;&gt;"", T30&lt;&gt;""), AVERAGE(S30,T30), "")</f>
        <v/>
      </c>
      <c r="W30" s="4" t="n"/>
      <c r="X30" s="4" t="n"/>
      <c r="Y30" s="8">
        <f>IF(AND(W30&lt;&gt;"", X30&lt;&gt;""), W30-X30, "")</f>
        <v/>
      </c>
      <c r="Z30" s="8">
        <f>IF(AND(W30&lt;&gt;"", X30&lt;&gt;""), AVERAGE(W30,X30), "")</f>
        <v/>
      </c>
    </row>
    <row r="31">
      <c r="A31" s="8" t="n">
        <v>27</v>
      </c>
      <c r="B31" s="3" t="inlineStr">
        <is>
          <t>Self Resilience</t>
        </is>
      </c>
      <c r="C31" s="3" t="inlineStr">
        <is>
          <t>Self-Management</t>
        </is>
      </c>
      <c r="D31" s="8" t="inlineStr">
        <is>
          <t>SR-M3</t>
        </is>
      </c>
      <c r="E31" s="3" t="inlineStr">
        <is>
          <t>Pengelolaan emosi
Saya mampu mengelola emosi secara konstruktif ketika menghadapi konflik, kegagalan, atau tekanan.</t>
        </is>
      </c>
      <c r="F31" s="3" t="inlineStr">
        <is>
          <t>Pengelolaan emosi
Etoser mampu mengelola emosi secara konstruktif ketika menghadapi konflik, kegagalan, atau tekanan.</t>
        </is>
      </c>
      <c r="G31" s="4" t="n"/>
      <c r="H31" s="4" t="n"/>
      <c r="I31" s="8">
        <f>IF(AND(G31&lt;&gt;"", H31&lt;&gt;""), G31-H31, "")</f>
        <v/>
      </c>
      <c r="J31" s="8">
        <f>IF(AND(G31&lt;&gt;"", H31&lt;&gt;""), AVERAGE(G31,H31), "")</f>
        <v/>
      </c>
      <c r="K31" s="4" t="n"/>
      <c r="L31" s="4" t="n"/>
      <c r="M31" s="8">
        <f>IF(AND(K31&lt;&gt;"", L31&lt;&gt;""), K31-L31, "")</f>
        <v/>
      </c>
      <c r="N31" s="8">
        <f>IF(AND(K31&lt;&gt;"", L31&lt;&gt;""), AVERAGE(K31,L31), "")</f>
        <v/>
      </c>
      <c r="O31" s="4" t="n"/>
      <c r="P31" s="4" t="n"/>
      <c r="Q31" s="8">
        <f>IF(AND(O31&lt;&gt;"", P31&lt;&gt;""), O31-P31, "")</f>
        <v/>
      </c>
      <c r="R31" s="8">
        <f>IF(AND(O31&lt;&gt;"", P31&lt;&gt;""), AVERAGE(O31,P31), "")</f>
        <v/>
      </c>
      <c r="S31" s="4" t="n"/>
      <c r="T31" s="4" t="n"/>
      <c r="U31" s="8">
        <f>IF(AND(S31&lt;&gt;"", T31&lt;&gt;""), S31-T31, "")</f>
        <v/>
      </c>
      <c r="V31" s="8">
        <f>IF(AND(S31&lt;&gt;"", T31&lt;&gt;""), AVERAGE(S31,T31), "")</f>
        <v/>
      </c>
      <c r="W31" s="4" t="n"/>
      <c r="X31" s="4" t="n"/>
      <c r="Y31" s="8">
        <f>IF(AND(W31&lt;&gt;"", X31&lt;&gt;""), W31-X31, "")</f>
        <v/>
      </c>
      <c r="Z31" s="8">
        <f>IF(AND(W31&lt;&gt;"", X31&lt;&gt;""), AVERAGE(W31,X31), "")</f>
        <v/>
      </c>
    </row>
    <row r="32">
      <c r="A32" s="8" t="n">
        <v>28</v>
      </c>
      <c r="B32" s="3" t="inlineStr">
        <is>
          <t>Self Resilience</t>
        </is>
      </c>
      <c r="C32" s="3" t="inlineStr">
        <is>
          <t>Self-Management</t>
        </is>
      </c>
      <c r="D32" s="8" t="inlineStr">
        <is>
          <t>SR-M4</t>
        </is>
      </c>
      <c r="E32" s="3" t="inlineStr">
        <is>
          <t>Keseimbangan diri
Saya menjaga keseimbangan antara pencapaian, kesehatan diri, relasi, dan kebutuhan pemulihan.</t>
        </is>
      </c>
      <c r="F32" s="3" t="inlineStr">
        <is>
          <t>Keseimbangan diri
Etoser menjaga keseimbangan antara pencapaian, kesehatan diri, relasi, dan kebutuhan pemulihan.</t>
        </is>
      </c>
      <c r="G32" s="4" t="n"/>
      <c r="H32" s="4" t="n"/>
      <c r="I32" s="8">
        <f>IF(AND(G32&lt;&gt;"", H32&lt;&gt;""), G32-H32, "")</f>
        <v/>
      </c>
      <c r="J32" s="8">
        <f>IF(AND(G32&lt;&gt;"", H32&lt;&gt;""), AVERAGE(G32,H32), "")</f>
        <v/>
      </c>
      <c r="K32" s="4" t="n"/>
      <c r="L32" s="4" t="n"/>
      <c r="M32" s="8">
        <f>IF(AND(K32&lt;&gt;"", L32&lt;&gt;""), K32-L32, "")</f>
        <v/>
      </c>
      <c r="N32" s="8">
        <f>IF(AND(K32&lt;&gt;"", L32&lt;&gt;""), AVERAGE(K32,L32), "")</f>
        <v/>
      </c>
      <c r="O32" s="4" t="n"/>
      <c r="P32" s="4" t="n"/>
      <c r="Q32" s="8">
        <f>IF(AND(O32&lt;&gt;"", P32&lt;&gt;""), O32-P32, "")</f>
        <v/>
      </c>
      <c r="R32" s="8">
        <f>IF(AND(O32&lt;&gt;"", P32&lt;&gt;""), AVERAGE(O32,P32), "")</f>
        <v/>
      </c>
      <c r="S32" s="4" t="n"/>
      <c r="T32" s="4" t="n"/>
      <c r="U32" s="8">
        <f>IF(AND(S32&lt;&gt;"", T32&lt;&gt;""), S32-T32, "")</f>
        <v/>
      </c>
      <c r="V32" s="8">
        <f>IF(AND(S32&lt;&gt;"", T32&lt;&gt;""), AVERAGE(S32,T32), "")</f>
        <v/>
      </c>
      <c r="W32" s="4" t="n"/>
      <c r="X32" s="4" t="n"/>
      <c r="Y32" s="8">
        <f>IF(AND(W32&lt;&gt;"", X32&lt;&gt;""), W32-X32, "")</f>
        <v/>
      </c>
      <c r="Z32" s="8">
        <f>IF(AND(W32&lt;&gt;"", X32&lt;&gt;""), AVERAGE(W32,X32), "")</f>
        <v/>
      </c>
    </row>
    <row r="33">
      <c r="A33" s="8" t="n">
        <v>29</v>
      </c>
      <c r="B33" s="3" t="inlineStr">
        <is>
          <t>Self Resilience</t>
        </is>
      </c>
      <c r="C33" s="3" t="inlineStr">
        <is>
          <t>Future Orientation</t>
        </is>
      </c>
      <c r="D33" s="8" t="inlineStr">
        <is>
          <t>SR-F1</t>
        </is>
      </c>
      <c r="E33" s="3" t="inlineStr">
        <is>
          <t>Arah hidup
Saya memiliki gambaran yang jelas mengenai arah hidup dan peran yang ingin saya bangun setelah menyelesaikan pendidikan.</t>
        </is>
      </c>
      <c r="F33" s="3" t="inlineStr">
        <is>
          <t>Arah hidup
Etoser memiliki gambaran yang jelas mengenai arah hidup dan peran yang ingin Etoser bangun setelah menyelesaikan pendidikan.</t>
        </is>
      </c>
      <c r="G33" s="4" t="n"/>
      <c r="H33" s="4" t="n"/>
      <c r="I33" s="8">
        <f>IF(AND(G33&lt;&gt;"", H33&lt;&gt;""), G33-H33, "")</f>
        <v/>
      </c>
      <c r="J33" s="8">
        <f>IF(AND(G33&lt;&gt;"", H33&lt;&gt;""), AVERAGE(G33,H33), "")</f>
        <v/>
      </c>
      <c r="K33" s="4" t="n"/>
      <c r="L33" s="4" t="n"/>
      <c r="M33" s="8">
        <f>IF(AND(K33&lt;&gt;"", L33&lt;&gt;""), K33-L33, "")</f>
        <v/>
      </c>
      <c r="N33" s="8">
        <f>IF(AND(K33&lt;&gt;"", L33&lt;&gt;""), AVERAGE(K33,L33), "")</f>
        <v/>
      </c>
      <c r="O33" s="4" t="n"/>
      <c r="P33" s="4" t="n"/>
      <c r="Q33" s="8">
        <f>IF(AND(O33&lt;&gt;"", P33&lt;&gt;""), O33-P33, "")</f>
        <v/>
      </c>
      <c r="R33" s="8">
        <f>IF(AND(O33&lt;&gt;"", P33&lt;&gt;""), AVERAGE(O33,P33), "")</f>
        <v/>
      </c>
      <c r="S33" s="4" t="n"/>
      <c r="T33" s="4" t="n"/>
      <c r="U33" s="8">
        <f>IF(AND(S33&lt;&gt;"", T33&lt;&gt;""), S33-T33, "")</f>
        <v/>
      </c>
      <c r="V33" s="8">
        <f>IF(AND(S33&lt;&gt;"", T33&lt;&gt;""), AVERAGE(S33,T33), "")</f>
        <v/>
      </c>
      <c r="W33" s="4" t="n"/>
      <c r="X33" s="4" t="n"/>
      <c r="Y33" s="8">
        <f>IF(AND(W33&lt;&gt;"", X33&lt;&gt;""), W33-X33, "")</f>
        <v/>
      </c>
      <c r="Z33" s="8">
        <f>IF(AND(W33&lt;&gt;"", X33&lt;&gt;""), AVERAGE(W33,X33), "")</f>
        <v/>
      </c>
    </row>
    <row r="34">
      <c r="A34" s="8" t="n">
        <v>30</v>
      </c>
      <c r="B34" s="3" t="inlineStr">
        <is>
          <t>Self Resilience</t>
        </is>
      </c>
      <c r="C34" s="3" t="inlineStr">
        <is>
          <t>Future Orientation</t>
        </is>
      </c>
      <c r="D34" s="8" t="inlineStr">
        <is>
          <t>SR-F2</t>
        </is>
      </c>
      <c r="E34" s="3" t="inlineStr">
        <is>
          <t>Persiapan masa depan
Saya memiliki langkah konkret untuk mengembangkan kompetensi yang dibutuhkan bagi tujuan masa depan saya.</t>
        </is>
      </c>
      <c r="F34" s="3" t="inlineStr">
        <is>
          <t>Persiapan masa depan
Etoser memiliki langkah konkret untuk mengembangkan kompetensi yang dibutuhkan bagi tujuan masa depan Etoser.</t>
        </is>
      </c>
      <c r="G34" s="4" t="n"/>
      <c r="H34" s="4" t="n"/>
      <c r="I34" s="8">
        <f>IF(AND(G34&lt;&gt;"", H34&lt;&gt;""), G34-H34, "")</f>
        <v/>
      </c>
      <c r="J34" s="8">
        <f>IF(AND(G34&lt;&gt;"", H34&lt;&gt;""), AVERAGE(G34,H34), "")</f>
        <v/>
      </c>
      <c r="K34" s="4" t="n"/>
      <c r="L34" s="4" t="n"/>
      <c r="M34" s="8">
        <f>IF(AND(K34&lt;&gt;"", L34&lt;&gt;""), K34-L34, "")</f>
        <v/>
      </c>
      <c r="N34" s="8">
        <f>IF(AND(K34&lt;&gt;"", L34&lt;&gt;""), AVERAGE(K34,L34), "")</f>
        <v/>
      </c>
      <c r="O34" s="4" t="n"/>
      <c r="P34" s="4" t="n"/>
      <c r="Q34" s="8">
        <f>IF(AND(O34&lt;&gt;"", P34&lt;&gt;""), O34-P34, "")</f>
        <v/>
      </c>
      <c r="R34" s="8">
        <f>IF(AND(O34&lt;&gt;"", P34&lt;&gt;""), AVERAGE(O34,P34), "")</f>
        <v/>
      </c>
      <c r="S34" s="4" t="n"/>
      <c r="T34" s="4" t="n"/>
      <c r="U34" s="8">
        <f>IF(AND(S34&lt;&gt;"", T34&lt;&gt;""), S34-T34, "")</f>
        <v/>
      </c>
      <c r="V34" s="8">
        <f>IF(AND(S34&lt;&gt;"", T34&lt;&gt;""), AVERAGE(S34,T34), "")</f>
        <v/>
      </c>
      <c r="W34" s="4" t="n"/>
      <c r="X34" s="4" t="n"/>
      <c r="Y34" s="8">
        <f>IF(AND(W34&lt;&gt;"", X34&lt;&gt;""), W34-X34, "")</f>
        <v/>
      </c>
      <c r="Z34" s="8">
        <f>IF(AND(W34&lt;&gt;"", X34&lt;&gt;""), AVERAGE(W34,X34), "")</f>
        <v/>
      </c>
    </row>
    <row r="35">
      <c r="A35" s="8" t="n">
        <v>31</v>
      </c>
      <c r="B35" s="3" t="inlineStr">
        <is>
          <t>Self Resilience</t>
        </is>
      </c>
      <c r="C35" s="3" t="inlineStr">
        <is>
          <t>Future Orientation</t>
        </is>
      </c>
      <c r="D35" s="8" t="inlineStr">
        <is>
          <t>SR-F3</t>
        </is>
      </c>
      <c r="E35" s="3" t="inlineStr">
        <is>
          <t>Membangun modal masa depan
Saya secara aktif membangun pengalaman, karya, dan jejaring yang mendukung arah karier atau kontribusi saya.</t>
        </is>
      </c>
      <c r="F35" s="3" t="inlineStr">
        <is>
          <t>Membangun modal masa depan
Etoser secara aktif membangun pengalaman, karya, dan jejaring yang mendukung arah karier atau kontribusi Etoser.</t>
        </is>
      </c>
      <c r="G35" s="4" t="n"/>
      <c r="H35" s="4" t="n"/>
      <c r="I35" s="8">
        <f>IF(AND(G35&lt;&gt;"", H35&lt;&gt;""), G35-H35, "")</f>
        <v/>
      </c>
      <c r="J35" s="8">
        <f>IF(AND(G35&lt;&gt;"", H35&lt;&gt;""), AVERAGE(G35,H35), "")</f>
        <v/>
      </c>
      <c r="K35" s="4" t="n"/>
      <c r="L35" s="4" t="n"/>
      <c r="M35" s="8">
        <f>IF(AND(K35&lt;&gt;"", L35&lt;&gt;""), K35-L35, "")</f>
        <v/>
      </c>
      <c r="N35" s="8">
        <f>IF(AND(K35&lt;&gt;"", L35&lt;&gt;""), AVERAGE(K35,L35), "")</f>
        <v/>
      </c>
      <c r="O35" s="4" t="n"/>
      <c r="P35" s="4" t="n"/>
      <c r="Q35" s="8">
        <f>IF(AND(O35&lt;&gt;"", P35&lt;&gt;""), O35-P35, "")</f>
        <v/>
      </c>
      <c r="R35" s="8">
        <f>IF(AND(O35&lt;&gt;"", P35&lt;&gt;""), AVERAGE(O35,P35), "")</f>
        <v/>
      </c>
      <c r="S35" s="4" t="n"/>
      <c r="T35" s="4" t="n"/>
      <c r="U35" s="8">
        <f>IF(AND(S35&lt;&gt;"", T35&lt;&gt;""), S35-T35, "")</f>
        <v/>
      </c>
      <c r="V35" s="8">
        <f>IF(AND(S35&lt;&gt;"", T35&lt;&gt;""), AVERAGE(S35,T35), "")</f>
        <v/>
      </c>
      <c r="W35" s="4" t="n"/>
      <c r="X35" s="4" t="n"/>
      <c r="Y35" s="8">
        <f>IF(AND(W35&lt;&gt;"", X35&lt;&gt;""), W35-X35, "")</f>
        <v/>
      </c>
      <c r="Z35" s="8">
        <f>IF(AND(W35&lt;&gt;"", X35&lt;&gt;""), AVERAGE(W35,X35), "")</f>
        <v/>
      </c>
    </row>
    <row r="36">
      <c r="A36" s="8" t="n">
        <v>32</v>
      </c>
      <c r="B36" s="3" t="inlineStr">
        <is>
          <t>Self Resilience</t>
        </is>
      </c>
      <c r="C36" s="3" t="inlineStr">
        <is>
          <t>Future Orientation</t>
        </is>
      </c>
      <c r="D36" s="8" t="inlineStr">
        <is>
          <t>SR-F4</t>
        </is>
      </c>
      <c r="E36" s="3" t="inlineStr">
        <is>
          <t>Plan B
Saya memiliki alternatif atau rencana cadangan ketika rencana utama pendidikan atau karier saya menghadapi hambatan.</t>
        </is>
      </c>
      <c r="F36" s="3" t="inlineStr">
        <is>
          <t>Plan B
Etoser memiliki alternatif atau rencana cadangan ketika rencana utama pendidikan atau karier Etoser menghadapi hambatan.</t>
        </is>
      </c>
      <c r="G36" s="4" t="n"/>
      <c r="H36" s="4" t="n"/>
      <c r="I36" s="8">
        <f>IF(AND(G36&lt;&gt;"", H36&lt;&gt;""), G36-H36, "")</f>
        <v/>
      </c>
      <c r="J36" s="8">
        <f>IF(AND(G36&lt;&gt;"", H36&lt;&gt;""), AVERAGE(G36,H36), "")</f>
        <v/>
      </c>
      <c r="K36" s="4" t="n"/>
      <c r="L36" s="4" t="n"/>
      <c r="M36" s="8">
        <f>IF(AND(K36&lt;&gt;"", L36&lt;&gt;""), K36-L36, "")</f>
        <v/>
      </c>
      <c r="N36" s="8">
        <f>IF(AND(K36&lt;&gt;"", L36&lt;&gt;""), AVERAGE(K36,L36), "")</f>
        <v/>
      </c>
      <c r="O36" s="4" t="n"/>
      <c r="P36" s="4" t="n"/>
      <c r="Q36" s="8">
        <f>IF(AND(O36&lt;&gt;"", P36&lt;&gt;""), O36-P36, "")</f>
        <v/>
      </c>
      <c r="R36" s="8">
        <f>IF(AND(O36&lt;&gt;"", P36&lt;&gt;""), AVERAGE(O36,P36), "")</f>
        <v/>
      </c>
      <c r="S36" s="4" t="n"/>
      <c r="T36" s="4" t="n"/>
      <c r="U36" s="8">
        <f>IF(AND(S36&lt;&gt;"", T36&lt;&gt;""), S36-T36, "")</f>
        <v/>
      </c>
      <c r="V36" s="8">
        <f>IF(AND(S36&lt;&gt;"", T36&lt;&gt;""), AVERAGE(S36,T36), "")</f>
        <v/>
      </c>
      <c r="W36" s="4" t="n"/>
      <c r="X36" s="4" t="n"/>
      <c r="Y36" s="8">
        <f>IF(AND(W36&lt;&gt;"", X36&lt;&gt;""), W36-X36, "")</f>
        <v/>
      </c>
      <c r="Z36" s="8">
        <f>IF(AND(W36&lt;&gt;"", X36&lt;&gt;""), AVERAGE(W36,X36), "")</f>
        <v/>
      </c>
    </row>
    <row r="37">
      <c r="A37" s="8" t="n">
        <v>33</v>
      </c>
      <c r="B37" s="3" t="inlineStr">
        <is>
          <t>Social Resilience</t>
        </is>
      </c>
      <c r="C37" s="3" t="inlineStr">
        <is>
          <t>Empathy</t>
        </is>
      </c>
      <c r="D37" s="8" t="inlineStr">
        <is>
          <t>SoR-E1</t>
        </is>
      </c>
      <c r="E37" s="3" t="inlineStr">
        <is>
          <t>Memahami perspektif orang lain
Saya berusaha memahami kebutuhan dan perspektif orang lain sebelum memberikan respons atau mengambil keputusan.</t>
        </is>
      </c>
      <c r="F37" s="3" t="inlineStr">
        <is>
          <t>Memahami perspektif orang lain
Etoser berusaha memahami kebutuhan dan perspektif orang lain sebelum memberikan respons atau mengambil keputusan.</t>
        </is>
      </c>
      <c r="G37" s="4" t="n"/>
      <c r="H37" s="4" t="n"/>
      <c r="I37" s="8">
        <f>IF(AND(G37&lt;&gt;"", H37&lt;&gt;""), G37-H37, "")</f>
        <v/>
      </c>
      <c r="J37" s="8">
        <f>IF(AND(G37&lt;&gt;"", H37&lt;&gt;""), AVERAGE(G37,H37), "")</f>
        <v/>
      </c>
      <c r="K37" s="4" t="n"/>
      <c r="L37" s="4" t="n"/>
      <c r="M37" s="8">
        <f>IF(AND(K37&lt;&gt;"", L37&lt;&gt;""), K37-L37, "")</f>
        <v/>
      </c>
      <c r="N37" s="8">
        <f>IF(AND(K37&lt;&gt;"", L37&lt;&gt;""), AVERAGE(K37,L37), "")</f>
        <v/>
      </c>
      <c r="O37" s="4" t="n"/>
      <c r="P37" s="4" t="n"/>
      <c r="Q37" s="8">
        <f>IF(AND(O37&lt;&gt;"", P37&lt;&gt;""), O37-P37, "")</f>
        <v/>
      </c>
      <c r="R37" s="8">
        <f>IF(AND(O37&lt;&gt;"", P37&lt;&gt;""), AVERAGE(O37,P37), "")</f>
        <v/>
      </c>
      <c r="S37" s="4" t="n"/>
      <c r="T37" s="4" t="n"/>
      <c r="U37" s="8">
        <f>IF(AND(S37&lt;&gt;"", T37&lt;&gt;""), S37-T37, "")</f>
        <v/>
      </c>
      <c r="V37" s="8">
        <f>IF(AND(S37&lt;&gt;"", T37&lt;&gt;""), AVERAGE(S37,T37), "")</f>
        <v/>
      </c>
      <c r="W37" s="4" t="n"/>
      <c r="X37" s="4" t="n"/>
      <c r="Y37" s="8">
        <f>IF(AND(W37&lt;&gt;"", X37&lt;&gt;""), W37-X37, "")</f>
        <v/>
      </c>
      <c r="Z37" s="8">
        <f>IF(AND(W37&lt;&gt;"", X37&lt;&gt;""), AVERAGE(W37,X37), "")</f>
        <v/>
      </c>
    </row>
    <row r="38">
      <c r="A38" s="8" t="n">
        <v>34</v>
      </c>
      <c r="B38" s="3" t="inlineStr">
        <is>
          <t>Social Resilience</t>
        </is>
      </c>
      <c r="C38" s="3" t="inlineStr">
        <is>
          <t>Empathy</t>
        </is>
      </c>
      <c r="D38" s="8" t="inlineStr">
        <is>
          <t>SoR-E2</t>
        </is>
      </c>
      <c r="E38" s="3" t="inlineStr">
        <is>
          <t>Kepekaan sosial
Saya peka terhadap orang di sekitar yang sedang mengalami kesulitan.</t>
        </is>
      </c>
      <c r="F38" s="3" t="inlineStr">
        <is>
          <t>Kepekaan sosial
Etoser peka terhadap orang di sekitar yang sedang mengalami kesulitan.</t>
        </is>
      </c>
      <c r="G38" s="4" t="n"/>
      <c r="H38" s="4" t="n"/>
      <c r="I38" s="8">
        <f>IF(AND(G38&lt;&gt;"", H38&lt;&gt;""), G38-H38, "")</f>
        <v/>
      </c>
      <c r="J38" s="8">
        <f>IF(AND(G38&lt;&gt;"", H38&lt;&gt;""), AVERAGE(G38,H38), "")</f>
        <v/>
      </c>
      <c r="K38" s="4" t="n"/>
      <c r="L38" s="4" t="n"/>
      <c r="M38" s="8">
        <f>IF(AND(K38&lt;&gt;"", L38&lt;&gt;""), K38-L38, "")</f>
        <v/>
      </c>
      <c r="N38" s="8">
        <f>IF(AND(K38&lt;&gt;"", L38&lt;&gt;""), AVERAGE(K38,L38), "")</f>
        <v/>
      </c>
      <c r="O38" s="4" t="n"/>
      <c r="P38" s="4" t="n"/>
      <c r="Q38" s="8">
        <f>IF(AND(O38&lt;&gt;"", P38&lt;&gt;""), O38-P38, "")</f>
        <v/>
      </c>
      <c r="R38" s="8">
        <f>IF(AND(O38&lt;&gt;"", P38&lt;&gt;""), AVERAGE(O38,P38), "")</f>
        <v/>
      </c>
      <c r="S38" s="4" t="n"/>
      <c r="T38" s="4" t="n"/>
      <c r="U38" s="8">
        <f>IF(AND(S38&lt;&gt;"", T38&lt;&gt;""), S38-T38, "")</f>
        <v/>
      </c>
      <c r="V38" s="8">
        <f>IF(AND(S38&lt;&gt;"", T38&lt;&gt;""), AVERAGE(S38,T38), "")</f>
        <v/>
      </c>
      <c r="W38" s="4" t="n"/>
      <c r="X38" s="4" t="n"/>
      <c r="Y38" s="8">
        <f>IF(AND(W38&lt;&gt;"", X38&lt;&gt;""), W38-X38, "")</f>
        <v/>
      </c>
      <c r="Z38" s="8">
        <f>IF(AND(W38&lt;&gt;"", X38&lt;&gt;""), AVERAGE(W38,X38), "")</f>
        <v/>
      </c>
    </row>
    <row r="39">
      <c r="A39" s="8" t="n">
        <v>35</v>
      </c>
      <c r="B39" s="3" t="inlineStr">
        <is>
          <t>Social Resilience</t>
        </is>
      </c>
      <c r="C39" s="3" t="inlineStr">
        <is>
          <t>Empathy</t>
        </is>
      </c>
      <c r="D39" s="8" t="inlineStr">
        <is>
          <t>SoR-E3</t>
        </is>
      </c>
      <c r="E39" s="3" t="inlineStr">
        <is>
          <t>Memberikan bantuan
Saya memberikan bantuan yang sesuai dengan kebutuhan dan kemampuan saya.</t>
        </is>
      </c>
      <c r="F39" s="3" t="inlineStr">
        <is>
          <t>Memberikan bantuan
Etoser memberikan bantuan yang sesuai dengan kebutuhan dan kemampuan Etoser.</t>
        </is>
      </c>
      <c r="G39" s="4" t="n"/>
      <c r="H39" s="4" t="n"/>
      <c r="I39" s="8">
        <f>IF(AND(G39&lt;&gt;"", H39&lt;&gt;""), G39-H39, "")</f>
        <v/>
      </c>
      <c r="J39" s="8">
        <f>IF(AND(G39&lt;&gt;"", H39&lt;&gt;""), AVERAGE(G39,H39), "")</f>
        <v/>
      </c>
      <c r="K39" s="4" t="n"/>
      <c r="L39" s="4" t="n"/>
      <c r="M39" s="8">
        <f>IF(AND(K39&lt;&gt;"", L39&lt;&gt;""), K39-L39, "")</f>
        <v/>
      </c>
      <c r="N39" s="8">
        <f>IF(AND(K39&lt;&gt;"", L39&lt;&gt;""), AVERAGE(K39,L39), "")</f>
        <v/>
      </c>
      <c r="O39" s="4" t="n"/>
      <c r="P39" s="4" t="n"/>
      <c r="Q39" s="8">
        <f>IF(AND(O39&lt;&gt;"", P39&lt;&gt;""), O39-P39, "")</f>
        <v/>
      </c>
      <c r="R39" s="8">
        <f>IF(AND(O39&lt;&gt;"", P39&lt;&gt;""), AVERAGE(O39,P39), "")</f>
        <v/>
      </c>
      <c r="S39" s="4" t="n"/>
      <c r="T39" s="4" t="n"/>
      <c r="U39" s="8">
        <f>IF(AND(S39&lt;&gt;"", T39&lt;&gt;""), S39-T39, "")</f>
        <v/>
      </c>
      <c r="V39" s="8">
        <f>IF(AND(S39&lt;&gt;"", T39&lt;&gt;""), AVERAGE(S39,T39), "")</f>
        <v/>
      </c>
      <c r="W39" s="4" t="n"/>
      <c r="X39" s="4" t="n"/>
      <c r="Y39" s="8">
        <f>IF(AND(W39&lt;&gt;"", X39&lt;&gt;""), W39-X39, "")</f>
        <v/>
      </c>
      <c r="Z39" s="8">
        <f>IF(AND(W39&lt;&gt;"", X39&lt;&gt;""), AVERAGE(W39,X39), "")</f>
        <v/>
      </c>
    </row>
    <row r="40">
      <c r="A40" s="8" t="n">
        <v>36</v>
      </c>
      <c r="B40" s="3" t="inlineStr">
        <is>
          <t>Social Resilience</t>
        </is>
      </c>
      <c r="C40" s="3" t="inlineStr">
        <is>
          <t>Empathy</t>
        </is>
      </c>
      <c r="D40" s="8" t="inlineStr">
        <is>
          <t>SoR-E4</t>
        </is>
      </c>
      <c r="E40" s="3" t="inlineStr">
        <is>
          <t>Menghargai perbedaan pandangan
Saya mampu tetap menghargai orang lain meskipun saya tidak setuju dengan pandangan atau pilihannya.</t>
        </is>
      </c>
      <c r="F40" s="3" t="inlineStr">
        <is>
          <t>Menghargai perbedaan pandangan
Etoser mampu tetap menghargai orang lain meskipun Etoser tidak setuju dengan pandangan atau pilihannya.</t>
        </is>
      </c>
      <c r="G40" s="4" t="n"/>
      <c r="H40" s="4" t="n"/>
      <c r="I40" s="8">
        <f>IF(AND(G40&lt;&gt;"", H40&lt;&gt;""), G40-H40, "")</f>
        <v/>
      </c>
      <c r="J40" s="8">
        <f>IF(AND(G40&lt;&gt;"", H40&lt;&gt;""), AVERAGE(G40,H40), "")</f>
        <v/>
      </c>
      <c r="K40" s="4" t="n"/>
      <c r="L40" s="4" t="n"/>
      <c r="M40" s="8">
        <f>IF(AND(K40&lt;&gt;"", L40&lt;&gt;""), K40-L40, "")</f>
        <v/>
      </c>
      <c r="N40" s="8">
        <f>IF(AND(K40&lt;&gt;"", L40&lt;&gt;""), AVERAGE(K40,L40), "")</f>
        <v/>
      </c>
      <c r="O40" s="4" t="n"/>
      <c r="P40" s="4" t="n"/>
      <c r="Q40" s="8">
        <f>IF(AND(O40&lt;&gt;"", P40&lt;&gt;""), O40-P40, "")</f>
        <v/>
      </c>
      <c r="R40" s="8">
        <f>IF(AND(O40&lt;&gt;"", P40&lt;&gt;""), AVERAGE(O40,P40), "")</f>
        <v/>
      </c>
      <c r="S40" s="4" t="n"/>
      <c r="T40" s="4" t="n"/>
      <c r="U40" s="8">
        <f>IF(AND(S40&lt;&gt;"", T40&lt;&gt;""), S40-T40, "")</f>
        <v/>
      </c>
      <c r="V40" s="8">
        <f>IF(AND(S40&lt;&gt;"", T40&lt;&gt;""), AVERAGE(S40,T40), "")</f>
        <v/>
      </c>
      <c r="W40" s="4" t="n"/>
      <c r="X40" s="4" t="n"/>
      <c r="Y40" s="8">
        <f>IF(AND(W40&lt;&gt;"", X40&lt;&gt;""), W40-X40, "")</f>
        <v/>
      </c>
      <c r="Z40" s="8">
        <f>IF(AND(W40&lt;&gt;"", X40&lt;&gt;""), AVERAGE(W40,X40), "")</f>
        <v/>
      </c>
    </row>
    <row r="41">
      <c r="A41" s="8" t="n">
        <v>37</v>
      </c>
      <c r="B41" s="3" t="inlineStr">
        <is>
          <t>Social Resilience</t>
        </is>
      </c>
      <c r="C41" s="3" t="inlineStr">
        <is>
          <t>Collaboration</t>
        </is>
      </c>
      <c r="D41" s="8" t="inlineStr">
        <is>
          <t>SoR-C1</t>
        </is>
      </c>
      <c r="E41" s="3" t="inlineStr">
        <is>
          <t>Kolaborasi lintas perbedaan
Saya mampu bekerja sama dengan orang yang memiliki karakter, latar belakang, atau cara kerja berbeda.</t>
        </is>
      </c>
      <c r="F41" s="3" t="inlineStr">
        <is>
          <t>Kolaborasi lintas perbedaan
Etoser mampu bekerja sama dengan orang yang memiliki karakter, latar belakang, atau cara kerja berbeda.</t>
        </is>
      </c>
      <c r="G41" s="4" t="n"/>
      <c r="H41" s="4" t="n"/>
      <c r="I41" s="8">
        <f>IF(AND(G41&lt;&gt;"", H41&lt;&gt;""), G41-H41, "")</f>
        <v/>
      </c>
      <c r="J41" s="8">
        <f>IF(AND(G41&lt;&gt;"", H41&lt;&gt;""), AVERAGE(G41,H41), "")</f>
        <v/>
      </c>
      <c r="K41" s="4" t="n"/>
      <c r="L41" s="4" t="n"/>
      <c r="M41" s="8">
        <f>IF(AND(K41&lt;&gt;"", L41&lt;&gt;""), K41-L41, "")</f>
        <v/>
      </c>
      <c r="N41" s="8">
        <f>IF(AND(K41&lt;&gt;"", L41&lt;&gt;""), AVERAGE(K41,L41), "")</f>
        <v/>
      </c>
      <c r="O41" s="4" t="n"/>
      <c r="P41" s="4" t="n"/>
      <c r="Q41" s="8">
        <f>IF(AND(O41&lt;&gt;"", P41&lt;&gt;""), O41-P41, "")</f>
        <v/>
      </c>
      <c r="R41" s="8">
        <f>IF(AND(O41&lt;&gt;"", P41&lt;&gt;""), AVERAGE(O41,P41), "")</f>
        <v/>
      </c>
      <c r="S41" s="4" t="n"/>
      <c r="T41" s="4" t="n"/>
      <c r="U41" s="8">
        <f>IF(AND(S41&lt;&gt;"", T41&lt;&gt;""), S41-T41, "")</f>
        <v/>
      </c>
      <c r="V41" s="8">
        <f>IF(AND(S41&lt;&gt;"", T41&lt;&gt;""), AVERAGE(S41,T41), "")</f>
        <v/>
      </c>
      <c r="W41" s="4" t="n"/>
      <c r="X41" s="4" t="n"/>
      <c r="Y41" s="8">
        <f>IF(AND(W41&lt;&gt;"", X41&lt;&gt;""), W41-X41, "")</f>
        <v/>
      </c>
      <c r="Z41" s="8">
        <f>IF(AND(W41&lt;&gt;"", X41&lt;&gt;""), AVERAGE(W41,X41), "")</f>
        <v/>
      </c>
    </row>
    <row r="42">
      <c r="A42" s="8" t="n">
        <v>38</v>
      </c>
      <c r="B42" s="3" t="inlineStr">
        <is>
          <t>Social Resilience</t>
        </is>
      </c>
      <c r="C42" s="3" t="inlineStr">
        <is>
          <t>Collaboration</t>
        </is>
      </c>
      <c r="D42" s="8" t="inlineStr">
        <is>
          <t>SoR-C2</t>
        </is>
      </c>
      <c r="E42" s="3" t="inlineStr">
        <is>
          <t>Komunikasi dan pembagian peran
Saya aktif membangun komunikasi dan pembagian peran yang jelas dalam tim.</t>
        </is>
      </c>
      <c r="F42" s="3" t="inlineStr">
        <is>
          <t>Komunikasi dan pembagian peran
Etoser aktif membangun komunikasi dan pembagian peran yang jelas dalam tim.</t>
        </is>
      </c>
      <c r="G42" s="4" t="n"/>
      <c r="H42" s="4" t="n"/>
      <c r="I42" s="8">
        <f>IF(AND(G42&lt;&gt;"", H42&lt;&gt;""), G42-H42, "")</f>
        <v/>
      </c>
      <c r="J42" s="8">
        <f>IF(AND(G42&lt;&gt;"", H42&lt;&gt;""), AVERAGE(G42,H42), "")</f>
        <v/>
      </c>
      <c r="K42" s="4" t="n"/>
      <c r="L42" s="4" t="n"/>
      <c r="M42" s="8">
        <f>IF(AND(K42&lt;&gt;"", L42&lt;&gt;""), K42-L42, "")</f>
        <v/>
      </c>
      <c r="N42" s="8">
        <f>IF(AND(K42&lt;&gt;"", L42&lt;&gt;""), AVERAGE(K42,L42), "")</f>
        <v/>
      </c>
      <c r="O42" s="4" t="n"/>
      <c r="P42" s="4" t="n"/>
      <c r="Q42" s="8">
        <f>IF(AND(O42&lt;&gt;"", P42&lt;&gt;""), O42-P42, "")</f>
        <v/>
      </c>
      <c r="R42" s="8">
        <f>IF(AND(O42&lt;&gt;"", P42&lt;&gt;""), AVERAGE(O42,P42), "")</f>
        <v/>
      </c>
      <c r="S42" s="4" t="n"/>
      <c r="T42" s="4" t="n"/>
      <c r="U42" s="8">
        <f>IF(AND(S42&lt;&gt;"", T42&lt;&gt;""), S42-T42, "")</f>
        <v/>
      </c>
      <c r="V42" s="8">
        <f>IF(AND(S42&lt;&gt;"", T42&lt;&gt;""), AVERAGE(S42,T42), "")</f>
        <v/>
      </c>
      <c r="W42" s="4" t="n"/>
      <c r="X42" s="4" t="n"/>
      <c r="Y42" s="8">
        <f>IF(AND(W42&lt;&gt;"", X42&lt;&gt;""), W42-X42, "")</f>
        <v/>
      </c>
      <c r="Z42" s="8">
        <f>IF(AND(W42&lt;&gt;"", X42&lt;&gt;""), AVERAGE(W42,X42), "")</f>
        <v/>
      </c>
    </row>
    <row r="43">
      <c r="A43" s="8" t="n">
        <v>39</v>
      </c>
      <c r="B43" s="3" t="inlineStr">
        <is>
          <t>Social Resilience</t>
        </is>
      </c>
      <c r="C43" s="3" t="inlineStr">
        <is>
          <t>Collaboration</t>
        </is>
      </c>
      <c r="D43" s="8" t="inlineStr">
        <is>
          <t>SoR-C3</t>
        </is>
      </c>
      <c r="E43" s="3" t="inlineStr">
        <is>
          <t>Mengelola perbedaan pendapat
Saya mampu mengelola perbedaan pendapat agar tetap berorientasi pada tujuan bersama.</t>
        </is>
      </c>
      <c r="F43" s="3" t="inlineStr">
        <is>
          <t>Mengelola perbedaan pendapat
Etoser mampu mengelola perbedaan pendapat agar tetap berorientasi pada tujuan bersama.</t>
        </is>
      </c>
      <c r="G43" s="4" t="n"/>
      <c r="H43" s="4" t="n"/>
      <c r="I43" s="8">
        <f>IF(AND(G43&lt;&gt;"", H43&lt;&gt;""), G43-H43, "")</f>
        <v/>
      </c>
      <c r="J43" s="8">
        <f>IF(AND(G43&lt;&gt;"", H43&lt;&gt;""), AVERAGE(G43,H43), "")</f>
        <v/>
      </c>
      <c r="K43" s="4" t="n"/>
      <c r="L43" s="4" t="n"/>
      <c r="M43" s="8">
        <f>IF(AND(K43&lt;&gt;"", L43&lt;&gt;""), K43-L43, "")</f>
        <v/>
      </c>
      <c r="N43" s="8">
        <f>IF(AND(K43&lt;&gt;"", L43&lt;&gt;""), AVERAGE(K43,L43), "")</f>
        <v/>
      </c>
      <c r="O43" s="4" t="n"/>
      <c r="P43" s="4" t="n"/>
      <c r="Q43" s="8">
        <f>IF(AND(O43&lt;&gt;"", P43&lt;&gt;""), O43-P43, "")</f>
        <v/>
      </c>
      <c r="R43" s="8">
        <f>IF(AND(O43&lt;&gt;"", P43&lt;&gt;""), AVERAGE(O43,P43), "")</f>
        <v/>
      </c>
      <c r="S43" s="4" t="n"/>
      <c r="T43" s="4" t="n"/>
      <c r="U43" s="8">
        <f>IF(AND(S43&lt;&gt;"", T43&lt;&gt;""), S43-T43, "")</f>
        <v/>
      </c>
      <c r="V43" s="8">
        <f>IF(AND(S43&lt;&gt;"", T43&lt;&gt;""), AVERAGE(S43,T43), "")</f>
        <v/>
      </c>
      <c r="W43" s="4" t="n"/>
      <c r="X43" s="4" t="n"/>
      <c r="Y43" s="8">
        <f>IF(AND(W43&lt;&gt;"", X43&lt;&gt;""), W43-X43, "")</f>
        <v/>
      </c>
      <c r="Z43" s="8">
        <f>IF(AND(W43&lt;&gt;"", X43&lt;&gt;""), AVERAGE(W43,X43), "")</f>
        <v/>
      </c>
    </row>
    <row r="44">
      <c r="A44" s="8" t="n">
        <v>40</v>
      </c>
      <c r="B44" s="3" t="inlineStr">
        <is>
          <t>Social Resilience</t>
        </is>
      </c>
      <c r="C44" s="3" t="inlineStr">
        <is>
          <t>Collaboration</t>
        </is>
      </c>
      <c r="D44" s="8" t="inlineStr">
        <is>
          <t>SoR-C4</t>
        </is>
      </c>
      <c r="E44" s="3" t="inlineStr">
        <is>
          <t>Jejaring dan kolaborasi
Saya membangun jejaring dan kolaborasi lintas kelompok untuk memperluas manfaat dari kegiatan yang saya jalankan.</t>
        </is>
      </c>
      <c r="F44" s="3" t="inlineStr">
        <is>
          <t>Jejaring dan kolaborasi
Etoser membangun jejaring dan kolaborasi lintas kelompok untuk memperluas manfaat dari kegiatan yang Etoser jalankan.</t>
        </is>
      </c>
      <c r="G44" s="4" t="n"/>
      <c r="H44" s="4" t="n"/>
      <c r="I44" s="8">
        <f>IF(AND(G44&lt;&gt;"", H44&lt;&gt;""), G44-H44, "")</f>
        <v/>
      </c>
      <c r="J44" s="8">
        <f>IF(AND(G44&lt;&gt;"", H44&lt;&gt;""), AVERAGE(G44,H44), "")</f>
        <v/>
      </c>
      <c r="K44" s="4" t="n"/>
      <c r="L44" s="4" t="n"/>
      <c r="M44" s="8">
        <f>IF(AND(K44&lt;&gt;"", L44&lt;&gt;""), K44-L44, "")</f>
        <v/>
      </c>
      <c r="N44" s="8">
        <f>IF(AND(K44&lt;&gt;"", L44&lt;&gt;""), AVERAGE(K44,L44), "")</f>
        <v/>
      </c>
      <c r="O44" s="4" t="n"/>
      <c r="P44" s="4" t="n"/>
      <c r="Q44" s="8">
        <f>IF(AND(O44&lt;&gt;"", P44&lt;&gt;""), O44-P44, "")</f>
        <v/>
      </c>
      <c r="R44" s="8">
        <f>IF(AND(O44&lt;&gt;"", P44&lt;&gt;""), AVERAGE(O44,P44), "")</f>
        <v/>
      </c>
      <c r="S44" s="4" t="n"/>
      <c r="T44" s="4" t="n"/>
      <c r="U44" s="8">
        <f>IF(AND(S44&lt;&gt;"", T44&lt;&gt;""), S44-T44, "")</f>
        <v/>
      </c>
      <c r="V44" s="8">
        <f>IF(AND(S44&lt;&gt;"", T44&lt;&gt;""), AVERAGE(S44,T44), "")</f>
        <v/>
      </c>
      <c r="W44" s="4" t="n"/>
      <c r="X44" s="4" t="n"/>
      <c r="Y44" s="8">
        <f>IF(AND(W44&lt;&gt;"", X44&lt;&gt;""), W44-X44, "")</f>
        <v/>
      </c>
      <c r="Z44" s="8">
        <f>IF(AND(W44&lt;&gt;"", X44&lt;&gt;""), AVERAGE(W44,X44), "")</f>
        <v/>
      </c>
    </row>
    <row r="45">
      <c r="A45" s="8" t="n">
        <v>41</v>
      </c>
      <c r="B45" s="3" t="inlineStr">
        <is>
          <t>Social Resilience</t>
        </is>
      </c>
      <c r="C45" s="3" t="inlineStr">
        <is>
          <t>Contribution</t>
        </is>
      </c>
      <c r="D45" s="8" t="inlineStr">
        <is>
          <t>SoR-K1</t>
        </is>
      </c>
      <c r="E45" s="3" t="inlineStr">
        <is>
          <t>Berbagi kapasitas
Saya menggunakan pengetahuan atau keterampilan yang saya miliki untuk membantu orang lain.</t>
        </is>
      </c>
      <c r="F45" s="3" t="inlineStr">
        <is>
          <t>Berbagi kapasitas
Etoser menggunakan pengetahuan atau keterampilan yang Etoser miliki untuk membantu orang lain.</t>
        </is>
      </c>
      <c r="G45" s="4" t="n"/>
      <c r="H45" s="4" t="n"/>
      <c r="I45" s="8">
        <f>IF(AND(G45&lt;&gt;"", H45&lt;&gt;""), G45-H45, "")</f>
        <v/>
      </c>
      <c r="J45" s="8">
        <f>IF(AND(G45&lt;&gt;"", H45&lt;&gt;""), AVERAGE(G45,H45), "")</f>
        <v/>
      </c>
      <c r="K45" s="4" t="n"/>
      <c r="L45" s="4" t="n"/>
      <c r="M45" s="8">
        <f>IF(AND(K45&lt;&gt;"", L45&lt;&gt;""), K45-L45, "")</f>
        <v/>
      </c>
      <c r="N45" s="8">
        <f>IF(AND(K45&lt;&gt;"", L45&lt;&gt;""), AVERAGE(K45,L45), "")</f>
        <v/>
      </c>
      <c r="O45" s="4" t="n"/>
      <c r="P45" s="4" t="n"/>
      <c r="Q45" s="8">
        <f>IF(AND(O45&lt;&gt;"", P45&lt;&gt;""), O45-P45, "")</f>
        <v/>
      </c>
      <c r="R45" s="8">
        <f>IF(AND(O45&lt;&gt;"", P45&lt;&gt;""), AVERAGE(O45,P45), "")</f>
        <v/>
      </c>
      <c r="S45" s="4" t="n"/>
      <c r="T45" s="4" t="n"/>
      <c r="U45" s="8">
        <f>IF(AND(S45&lt;&gt;"", T45&lt;&gt;""), S45-T45, "")</f>
        <v/>
      </c>
      <c r="V45" s="8">
        <f>IF(AND(S45&lt;&gt;"", T45&lt;&gt;""), AVERAGE(S45,T45), "")</f>
        <v/>
      </c>
      <c r="W45" s="4" t="n"/>
      <c r="X45" s="4" t="n"/>
      <c r="Y45" s="8">
        <f>IF(AND(W45&lt;&gt;"", X45&lt;&gt;""), W45-X45, "")</f>
        <v/>
      </c>
      <c r="Z45" s="8">
        <f>IF(AND(W45&lt;&gt;"", X45&lt;&gt;""), AVERAGE(W45,X45), "")</f>
        <v/>
      </c>
    </row>
    <row r="46">
      <c r="A46" s="8" t="n">
        <v>42</v>
      </c>
      <c r="B46" s="3" t="inlineStr">
        <is>
          <t>Social Resilience</t>
        </is>
      </c>
      <c r="C46" s="3" t="inlineStr">
        <is>
          <t>Contribution</t>
        </is>
      </c>
      <c r="D46" s="8" t="inlineStr">
        <is>
          <t>SoR-K2</t>
        </is>
      </c>
      <c r="E46" s="3" t="inlineStr">
        <is>
          <t>Keterlibatan sosial
Saya secara aktif terlibat dalam kegiatan yang memberikan manfaat bagi masyarakat atau lingkungan.</t>
        </is>
      </c>
      <c r="F46" s="3" t="inlineStr">
        <is>
          <t>Keterlibatan sosial
Etoser secara aktif terlibat dalam kegiatan yang memberikan manfaat bagi masyarakat atau lingkungan.</t>
        </is>
      </c>
      <c r="G46" s="4" t="n"/>
      <c r="H46" s="4" t="n"/>
      <c r="I46" s="8">
        <f>IF(AND(G46&lt;&gt;"", H46&lt;&gt;""), G46-H46, "")</f>
        <v/>
      </c>
      <c r="J46" s="8">
        <f>IF(AND(G46&lt;&gt;"", H46&lt;&gt;""), AVERAGE(G46,H46), "")</f>
        <v/>
      </c>
      <c r="K46" s="4" t="n"/>
      <c r="L46" s="4" t="n"/>
      <c r="M46" s="8">
        <f>IF(AND(K46&lt;&gt;"", L46&lt;&gt;""), K46-L46, "")</f>
        <v/>
      </c>
      <c r="N46" s="8">
        <f>IF(AND(K46&lt;&gt;"", L46&lt;&gt;""), AVERAGE(K46,L46), "")</f>
        <v/>
      </c>
      <c r="O46" s="4" t="n"/>
      <c r="P46" s="4" t="n"/>
      <c r="Q46" s="8">
        <f>IF(AND(O46&lt;&gt;"", P46&lt;&gt;""), O46-P46, "")</f>
        <v/>
      </c>
      <c r="R46" s="8">
        <f>IF(AND(O46&lt;&gt;"", P46&lt;&gt;""), AVERAGE(O46,P46), "")</f>
        <v/>
      </c>
      <c r="S46" s="4" t="n"/>
      <c r="T46" s="4" t="n"/>
      <c r="U46" s="8">
        <f>IF(AND(S46&lt;&gt;"", T46&lt;&gt;""), S46-T46, "")</f>
        <v/>
      </c>
      <c r="V46" s="8">
        <f>IF(AND(S46&lt;&gt;"", T46&lt;&gt;""), AVERAGE(S46,T46), "")</f>
        <v/>
      </c>
      <c r="W46" s="4" t="n"/>
      <c r="X46" s="4" t="n"/>
      <c r="Y46" s="8">
        <f>IF(AND(W46&lt;&gt;"", X46&lt;&gt;""), W46-X46, "")</f>
        <v/>
      </c>
      <c r="Z46" s="8">
        <f>IF(AND(W46&lt;&gt;"", X46&lt;&gt;""), AVERAGE(W46,X46), "")</f>
        <v/>
      </c>
    </row>
    <row r="47">
      <c r="A47" s="8" t="n">
        <v>43</v>
      </c>
      <c r="B47" s="3" t="inlineStr">
        <is>
          <t>Social Resilience</t>
        </is>
      </c>
      <c r="C47" s="3" t="inlineStr">
        <is>
          <t>Contribution</t>
        </is>
      </c>
      <c r="D47" s="8" t="inlineStr">
        <is>
          <t>SoR-K3</t>
        </is>
      </c>
      <c r="E47" s="3" t="inlineStr">
        <is>
          <t>Inisiatif kontribusi
Saya mengambil inisiatif ketika melihat kebutuhan atau persoalan yang dapat saya bantu.</t>
        </is>
      </c>
      <c r="F47" s="3" t="inlineStr">
        <is>
          <t>Inisiatif kontribusi
Etoser mengambil inisiatif ketika melihat kebutuhan atau persoalan yang dapat Etoser bantu.</t>
        </is>
      </c>
      <c r="G47" s="4" t="n"/>
      <c r="H47" s="4" t="n"/>
      <c r="I47" s="8">
        <f>IF(AND(G47&lt;&gt;"", H47&lt;&gt;""), G47-H47, "")</f>
        <v/>
      </c>
      <c r="J47" s="8">
        <f>IF(AND(G47&lt;&gt;"", H47&lt;&gt;""), AVERAGE(G47,H47), "")</f>
        <v/>
      </c>
      <c r="K47" s="4" t="n"/>
      <c r="L47" s="4" t="n"/>
      <c r="M47" s="8">
        <f>IF(AND(K47&lt;&gt;"", L47&lt;&gt;""), K47-L47, "")</f>
        <v/>
      </c>
      <c r="N47" s="8">
        <f>IF(AND(K47&lt;&gt;"", L47&lt;&gt;""), AVERAGE(K47,L47), "")</f>
        <v/>
      </c>
      <c r="O47" s="4" t="n"/>
      <c r="P47" s="4" t="n"/>
      <c r="Q47" s="8">
        <f>IF(AND(O47&lt;&gt;"", P47&lt;&gt;""), O47-P47, "")</f>
        <v/>
      </c>
      <c r="R47" s="8">
        <f>IF(AND(O47&lt;&gt;"", P47&lt;&gt;""), AVERAGE(O47,P47), "")</f>
        <v/>
      </c>
      <c r="S47" s="4" t="n"/>
      <c r="T47" s="4" t="n"/>
      <c r="U47" s="8">
        <f>IF(AND(S47&lt;&gt;"", T47&lt;&gt;""), S47-T47, "")</f>
        <v/>
      </c>
      <c r="V47" s="8">
        <f>IF(AND(S47&lt;&gt;"", T47&lt;&gt;""), AVERAGE(S47,T47), "")</f>
        <v/>
      </c>
      <c r="W47" s="4" t="n"/>
      <c r="X47" s="4" t="n"/>
      <c r="Y47" s="8">
        <f>IF(AND(W47&lt;&gt;"", X47&lt;&gt;""), W47-X47, "")</f>
        <v/>
      </c>
      <c r="Z47" s="8">
        <f>IF(AND(W47&lt;&gt;"", X47&lt;&gt;""), AVERAGE(W47,X47), "")</f>
        <v/>
      </c>
    </row>
    <row r="48">
      <c r="A48" s="8" t="n">
        <v>44</v>
      </c>
      <c r="B48" s="3" t="inlineStr">
        <is>
          <t>Social Resilience</t>
        </is>
      </c>
      <c r="C48" s="3" t="inlineStr">
        <is>
          <t>Contribution</t>
        </is>
      </c>
      <c r="D48" s="8" t="inlineStr">
        <is>
          <t>SoR-K4</t>
        </is>
      </c>
      <c r="E48" s="3" t="inlineStr">
        <is>
          <t>Kontribusi berbasis keahlian
Saya mengembangkan kontribusi yang sesuai dengan kapasitas dan bidang keahlian saya agar manfaatnya lebih besar.</t>
        </is>
      </c>
      <c r="F48" s="3" t="inlineStr">
        <is>
          <t>Kontribusi berbasis keahlian
Etoser mengembangkan kontribusi yang sesuai dengan kapasitas dan bidang keahlian Etoser agar manfaatnya lebih besar.</t>
        </is>
      </c>
      <c r="G48" s="4" t="n"/>
      <c r="H48" s="4" t="n"/>
      <c r="I48" s="8">
        <f>IF(AND(G48&lt;&gt;"", H48&lt;&gt;""), G48-H48, "")</f>
        <v/>
      </c>
      <c r="J48" s="8">
        <f>IF(AND(G48&lt;&gt;"", H48&lt;&gt;""), AVERAGE(G48,H48), "")</f>
        <v/>
      </c>
      <c r="K48" s="4" t="n"/>
      <c r="L48" s="4" t="n"/>
      <c r="M48" s="8">
        <f>IF(AND(K48&lt;&gt;"", L48&lt;&gt;""), K48-L48, "")</f>
        <v/>
      </c>
      <c r="N48" s="8">
        <f>IF(AND(K48&lt;&gt;"", L48&lt;&gt;""), AVERAGE(K48,L48), "")</f>
        <v/>
      </c>
      <c r="O48" s="4" t="n"/>
      <c r="P48" s="4" t="n"/>
      <c r="Q48" s="8">
        <f>IF(AND(O48&lt;&gt;"", P48&lt;&gt;""), O48-P48, "")</f>
        <v/>
      </c>
      <c r="R48" s="8">
        <f>IF(AND(O48&lt;&gt;"", P48&lt;&gt;""), AVERAGE(O48,P48), "")</f>
        <v/>
      </c>
      <c r="S48" s="4" t="n"/>
      <c r="T48" s="4" t="n"/>
      <c r="U48" s="8">
        <f>IF(AND(S48&lt;&gt;"", T48&lt;&gt;""), S48-T48, "")</f>
        <v/>
      </c>
      <c r="V48" s="8">
        <f>IF(AND(S48&lt;&gt;"", T48&lt;&gt;""), AVERAGE(S48,T48), "")</f>
        <v/>
      </c>
      <c r="W48" s="4" t="n"/>
      <c r="X48" s="4" t="n"/>
      <c r="Y48" s="8">
        <f>IF(AND(W48&lt;&gt;"", X48&lt;&gt;""), W48-X48, "")</f>
        <v/>
      </c>
      <c r="Z48" s="8">
        <f>IF(AND(W48&lt;&gt;"", X48&lt;&gt;""), AVERAGE(W48,X48), "")</f>
        <v/>
      </c>
    </row>
    <row r="49">
      <c r="A49" s="8" t="n">
        <v>45</v>
      </c>
      <c r="B49" s="3" t="inlineStr">
        <is>
          <t>Social Resilience</t>
        </is>
      </c>
      <c r="C49" s="3" t="inlineStr">
        <is>
          <t>Consistency</t>
        </is>
      </c>
      <c r="D49" s="8" t="inlineStr">
        <is>
          <t>SoR-CN1</t>
        </is>
      </c>
      <c r="E49" s="3" t="inlineStr">
        <is>
          <t>Konsistensi kontribusi
Saya tetap menjalankan komitmen sosial meskipun kesibukan akademik atau pekerjaan meningkat.</t>
        </is>
      </c>
      <c r="F49" s="3" t="inlineStr">
        <is>
          <t>Konsistensi kontribusi
Etoser tetap menjalankan komitmen sosial meskipun kesibukan akademik atau pekerjaan meningkat.</t>
        </is>
      </c>
      <c r="G49" s="4" t="n"/>
      <c r="H49" s="4" t="n"/>
      <c r="I49" s="8">
        <f>IF(AND(G49&lt;&gt;"", H49&lt;&gt;""), G49-H49, "")</f>
        <v/>
      </c>
      <c r="J49" s="8">
        <f>IF(AND(G49&lt;&gt;"", H49&lt;&gt;""), AVERAGE(G49,H49), "")</f>
        <v/>
      </c>
      <c r="K49" s="4" t="n"/>
      <c r="L49" s="4" t="n"/>
      <c r="M49" s="8">
        <f>IF(AND(K49&lt;&gt;"", L49&lt;&gt;""), K49-L49, "")</f>
        <v/>
      </c>
      <c r="N49" s="8">
        <f>IF(AND(K49&lt;&gt;"", L49&lt;&gt;""), AVERAGE(K49,L49), "")</f>
        <v/>
      </c>
      <c r="O49" s="4" t="n"/>
      <c r="P49" s="4" t="n"/>
      <c r="Q49" s="8">
        <f>IF(AND(O49&lt;&gt;"", P49&lt;&gt;""), O49-P49, "")</f>
        <v/>
      </c>
      <c r="R49" s="8">
        <f>IF(AND(O49&lt;&gt;"", P49&lt;&gt;""), AVERAGE(O49,P49), "")</f>
        <v/>
      </c>
      <c r="S49" s="4" t="n"/>
      <c r="T49" s="4" t="n"/>
      <c r="U49" s="8">
        <f>IF(AND(S49&lt;&gt;"", T49&lt;&gt;""), S49-T49, "")</f>
        <v/>
      </c>
      <c r="V49" s="8">
        <f>IF(AND(S49&lt;&gt;"", T49&lt;&gt;""), AVERAGE(S49,T49), "")</f>
        <v/>
      </c>
      <c r="W49" s="4" t="n"/>
      <c r="X49" s="4" t="n"/>
      <c r="Y49" s="8">
        <f>IF(AND(W49&lt;&gt;"", X49&lt;&gt;""), W49-X49, "")</f>
        <v/>
      </c>
      <c r="Z49" s="8">
        <f>IF(AND(W49&lt;&gt;"", X49&lt;&gt;""), AVERAGE(W49,X49), "")</f>
        <v/>
      </c>
    </row>
    <row r="50">
      <c r="A50" s="8" t="n">
        <v>46</v>
      </c>
      <c r="B50" s="3" t="inlineStr">
        <is>
          <t>Social Resilience</t>
        </is>
      </c>
      <c r="C50" s="3" t="inlineStr">
        <is>
          <t>Consistency</t>
        </is>
      </c>
      <c r="D50" s="8" t="inlineStr">
        <is>
          <t>SoR-CN2</t>
        </is>
      </c>
      <c r="E50" s="3" t="inlineStr">
        <is>
          <t>Konsistensi kualitas
Saya mampu mempertahankan kualitas kontribusi saya dalam jangka waktu yang cukup panjang.</t>
        </is>
      </c>
      <c r="F50" s="3" t="inlineStr">
        <is>
          <t>Konsistensi kualitas
Etoser mampu mempertahankan kualitas kontribusi Etoser dalam jangka waktu yang cukup panjang.</t>
        </is>
      </c>
      <c r="G50" s="4" t="n"/>
      <c r="H50" s="4" t="n"/>
      <c r="I50" s="8">
        <f>IF(AND(G50&lt;&gt;"", H50&lt;&gt;""), G50-H50, "")</f>
        <v/>
      </c>
      <c r="J50" s="8">
        <f>IF(AND(G50&lt;&gt;"", H50&lt;&gt;""), AVERAGE(G50,H50), "")</f>
        <v/>
      </c>
      <c r="K50" s="4" t="n"/>
      <c r="L50" s="4" t="n"/>
      <c r="M50" s="8">
        <f>IF(AND(K50&lt;&gt;"", L50&lt;&gt;""), K50-L50, "")</f>
        <v/>
      </c>
      <c r="N50" s="8">
        <f>IF(AND(K50&lt;&gt;"", L50&lt;&gt;""), AVERAGE(K50,L50), "")</f>
        <v/>
      </c>
      <c r="O50" s="4" t="n"/>
      <c r="P50" s="4" t="n"/>
      <c r="Q50" s="8">
        <f>IF(AND(O50&lt;&gt;"", P50&lt;&gt;""), O50-P50, "")</f>
        <v/>
      </c>
      <c r="R50" s="8">
        <f>IF(AND(O50&lt;&gt;"", P50&lt;&gt;""), AVERAGE(O50,P50), "")</f>
        <v/>
      </c>
      <c r="S50" s="4" t="n"/>
      <c r="T50" s="4" t="n"/>
      <c r="U50" s="8">
        <f>IF(AND(S50&lt;&gt;"", T50&lt;&gt;""), S50-T50, "")</f>
        <v/>
      </c>
      <c r="V50" s="8">
        <f>IF(AND(S50&lt;&gt;"", T50&lt;&gt;""), AVERAGE(S50,T50), "")</f>
        <v/>
      </c>
      <c r="W50" s="4" t="n"/>
      <c r="X50" s="4" t="n"/>
      <c r="Y50" s="8">
        <f>IF(AND(W50&lt;&gt;"", X50&lt;&gt;""), W50-X50, "")</f>
        <v/>
      </c>
      <c r="Z50" s="8">
        <f>IF(AND(W50&lt;&gt;"", X50&lt;&gt;""), AVERAGE(W50,X50), "")</f>
        <v/>
      </c>
    </row>
    <row r="51">
      <c r="A51" s="8" t="n">
        <v>47</v>
      </c>
      <c r="B51" s="3" t="inlineStr">
        <is>
          <t>Social Resilience</t>
        </is>
      </c>
      <c r="C51" s="3" t="inlineStr">
        <is>
          <t>Consistency</t>
        </is>
      </c>
      <c r="D51" s="8" t="inlineStr">
        <is>
          <t>SoR-CN3</t>
        </is>
      </c>
      <c r="E51" s="3" t="inlineStr">
        <is>
          <t>Kontribusi dalam keterbatasan
Saya tetap berusaha memberikan manfaat meskipun menghadapi keterbatasan waktu, sumber daya, atau kondisi pribadi.</t>
        </is>
      </c>
      <c r="F51" s="3" t="inlineStr">
        <is>
          <t>Kontribusi dalam keterbatasan
Etoser tetap berusaha memberikan manfaat meskipun menghadapi keterbatasan waktu, sumber daya, atau kondisi pribadi.</t>
        </is>
      </c>
      <c r="G51" s="4" t="n"/>
      <c r="H51" s="4" t="n"/>
      <c r="I51" s="8">
        <f>IF(AND(G51&lt;&gt;"", H51&lt;&gt;""), G51-H51, "")</f>
        <v/>
      </c>
      <c r="J51" s="8">
        <f>IF(AND(G51&lt;&gt;"", H51&lt;&gt;""), AVERAGE(G51,H51), "")</f>
        <v/>
      </c>
      <c r="K51" s="4" t="n"/>
      <c r="L51" s="4" t="n"/>
      <c r="M51" s="8">
        <f>IF(AND(K51&lt;&gt;"", L51&lt;&gt;""), K51-L51, "")</f>
        <v/>
      </c>
      <c r="N51" s="8">
        <f>IF(AND(K51&lt;&gt;"", L51&lt;&gt;""), AVERAGE(K51,L51), "")</f>
        <v/>
      </c>
      <c r="O51" s="4" t="n"/>
      <c r="P51" s="4" t="n"/>
      <c r="Q51" s="8">
        <f>IF(AND(O51&lt;&gt;"", P51&lt;&gt;""), O51-P51, "")</f>
        <v/>
      </c>
      <c r="R51" s="8">
        <f>IF(AND(O51&lt;&gt;"", P51&lt;&gt;""), AVERAGE(O51,P51), "")</f>
        <v/>
      </c>
      <c r="S51" s="4" t="n"/>
      <c r="T51" s="4" t="n"/>
      <c r="U51" s="8">
        <f>IF(AND(S51&lt;&gt;"", T51&lt;&gt;""), S51-T51, "")</f>
        <v/>
      </c>
      <c r="V51" s="8">
        <f>IF(AND(S51&lt;&gt;"", T51&lt;&gt;""), AVERAGE(S51,T51), "")</f>
        <v/>
      </c>
      <c r="W51" s="4" t="n"/>
      <c r="X51" s="4" t="n"/>
      <c r="Y51" s="8">
        <f>IF(AND(W51&lt;&gt;"", X51&lt;&gt;""), W51-X51, "")</f>
        <v/>
      </c>
      <c r="Z51" s="8">
        <f>IF(AND(W51&lt;&gt;"", X51&lt;&gt;""), AVERAGE(W51,X51), "")</f>
        <v/>
      </c>
    </row>
    <row r="52">
      <c r="A52" s="8" t="n">
        <v>48</v>
      </c>
      <c r="B52" s="3" t="inlineStr">
        <is>
          <t>Social Resilience</t>
        </is>
      </c>
      <c r="C52" s="3" t="inlineStr">
        <is>
          <t>Consistency</t>
        </is>
      </c>
      <c r="D52" s="8" t="inlineStr">
        <is>
          <t>SoR-CN4</t>
        </is>
      </c>
      <c r="E52" s="3" t="inlineStr">
        <is>
          <t>Keberlanjutan kontribusi
Saya memastikan kegiatan atau kontribusi yang saya bangun tidak berhenti hanya karena saya menghadapi perubahan kesibukan atau peran.</t>
        </is>
      </c>
      <c r="F52" s="3" t="inlineStr">
        <is>
          <t>Keberlanjutan kontribusi
Etoser memastikan kegiatan atau kontribusi yang Etoser bangun tidak berhenti hanya karena Etoser menghadapi perubahan kesibukan atau peran.</t>
        </is>
      </c>
      <c r="G52" s="4" t="n"/>
      <c r="H52" s="4" t="n"/>
      <c r="I52" s="8">
        <f>IF(AND(G52&lt;&gt;"", H52&lt;&gt;""), G52-H52, "")</f>
        <v/>
      </c>
      <c r="J52" s="8">
        <f>IF(AND(G52&lt;&gt;"", H52&lt;&gt;""), AVERAGE(G52,H52), "")</f>
        <v/>
      </c>
      <c r="K52" s="4" t="n"/>
      <c r="L52" s="4" t="n"/>
      <c r="M52" s="8">
        <f>IF(AND(K52&lt;&gt;"", L52&lt;&gt;""), K52-L52, "")</f>
        <v/>
      </c>
      <c r="N52" s="8">
        <f>IF(AND(K52&lt;&gt;"", L52&lt;&gt;""), AVERAGE(K52,L52), "")</f>
        <v/>
      </c>
      <c r="O52" s="4" t="n"/>
      <c r="P52" s="4" t="n"/>
      <c r="Q52" s="8">
        <f>IF(AND(O52&lt;&gt;"", P52&lt;&gt;""), O52-P52, "")</f>
        <v/>
      </c>
      <c r="R52" s="8">
        <f>IF(AND(O52&lt;&gt;"", P52&lt;&gt;""), AVERAGE(O52,P52), "")</f>
        <v/>
      </c>
      <c r="S52" s="4" t="n"/>
      <c r="T52" s="4" t="n"/>
      <c r="U52" s="8">
        <f>IF(AND(S52&lt;&gt;"", T52&lt;&gt;""), S52-T52, "")</f>
        <v/>
      </c>
      <c r="V52" s="8">
        <f>IF(AND(S52&lt;&gt;"", T52&lt;&gt;""), AVERAGE(S52,T52), "")</f>
        <v/>
      </c>
      <c r="W52" s="4" t="n"/>
      <c r="X52" s="4" t="n"/>
      <c r="Y52" s="8">
        <f>IF(AND(W52&lt;&gt;"", X52&lt;&gt;""), W52-X52, "")</f>
        <v/>
      </c>
      <c r="Z52" s="8">
        <f>IF(AND(W52&lt;&gt;"", X52&lt;&gt;""), AVERAGE(W52,X52), "")</f>
        <v/>
      </c>
    </row>
    <row r="53">
      <c r="A53" s="8" t="n">
        <v>49</v>
      </c>
      <c r="B53" s="3" t="inlineStr">
        <is>
          <t>Change Resilience</t>
        </is>
      </c>
      <c r="C53" s="3" t="inlineStr">
        <is>
          <t>Problem Solving</t>
        </is>
      </c>
      <c r="D53" s="8" t="inlineStr">
        <is>
          <t>CR-P1</t>
        </is>
      </c>
      <c r="E53" s="3" t="inlineStr">
        <is>
          <t>Memahami akar masalah
Saya berusaha memahami akar masalah sebelum menentukan solusi.</t>
        </is>
      </c>
      <c r="F53" s="3" t="inlineStr">
        <is>
          <t>Memahami akar masalah
Etoser berusaha memahami akar masalah sebelum menentukan solusi.</t>
        </is>
      </c>
      <c r="G53" s="4" t="n"/>
      <c r="H53" s="4" t="n"/>
      <c r="I53" s="8">
        <f>IF(AND(G53&lt;&gt;"", H53&lt;&gt;""), G53-H53, "")</f>
        <v/>
      </c>
      <c r="J53" s="8">
        <f>IF(AND(G53&lt;&gt;"", H53&lt;&gt;""), AVERAGE(G53,H53), "")</f>
        <v/>
      </c>
      <c r="K53" s="4" t="n"/>
      <c r="L53" s="4" t="n"/>
      <c r="M53" s="8">
        <f>IF(AND(K53&lt;&gt;"", L53&lt;&gt;""), K53-L53, "")</f>
        <v/>
      </c>
      <c r="N53" s="8">
        <f>IF(AND(K53&lt;&gt;"", L53&lt;&gt;""), AVERAGE(K53,L53), "")</f>
        <v/>
      </c>
      <c r="O53" s="4" t="n"/>
      <c r="P53" s="4" t="n"/>
      <c r="Q53" s="8">
        <f>IF(AND(O53&lt;&gt;"", P53&lt;&gt;""), O53-P53, "")</f>
        <v/>
      </c>
      <c r="R53" s="8">
        <f>IF(AND(O53&lt;&gt;"", P53&lt;&gt;""), AVERAGE(O53,P53), "")</f>
        <v/>
      </c>
      <c r="S53" s="4" t="n"/>
      <c r="T53" s="4" t="n"/>
      <c r="U53" s="8">
        <f>IF(AND(S53&lt;&gt;"", T53&lt;&gt;""), S53-T53, "")</f>
        <v/>
      </c>
      <c r="V53" s="8">
        <f>IF(AND(S53&lt;&gt;"", T53&lt;&gt;""), AVERAGE(S53,T53), "")</f>
        <v/>
      </c>
      <c r="W53" s="4" t="n"/>
      <c r="X53" s="4" t="n"/>
      <c r="Y53" s="8">
        <f>IF(AND(W53&lt;&gt;"", X53&lt;&gt;""), W53-X53, "")</f>
        <v/>
      </c>
      <c r="Z53" s="8">
        <f>IF(AND(W53&lt;&gt;"", X53&lt;&gt;""), AVERAGE(W53,X53), "")</f>
        <v/>
      </c>
    </row>
    <row r="54">
      <c r="A54" s="8" t="n">
        <v>50</v>
      </c>
      <c r="B54" s="3" t="inlineStr">
        <is>
          <t>Change Resilience</t>
        </is>
      </c>
      <c r="C54" s="3" t="inlineStr">
        <is>
          <t>Problem Solving</t>
        </is>
      </c>
      <c r="D54" s="8" t="inlineStr">
        <is>
          <t>CR-P2</t>
        </is>
      </c>
      <c r="E54" s="3" t="inlineStr">
        <is>
          <t>Alternatif solusi
Saya mempertimbangkan beberapa alternatif sebelum mengambil keputusan ketika menghadapi masalah.</t>
        </is>
      </c>
      <c r="F54" s="3" t="inlineStr">
        <is>
          <t>Alternatif solusi
Etoser mempertimbangkan beberapa alternatif sebelum mengambil keputusan ketika menghadapi masalah.</t>
        </is>
      </c>
      <c r="G54" s="4" t="n"/>
      <c r="H54" s="4" t="n"/>
      <c r="I54" s="8">
        <f>IF(AND(G54&lt;&gt;"", H54&lt;&gt;""), G54-H54, "")</f>
        <v/>
      </c>
      <c r="J54" s="8">
        <f>IF(AND(G54&lt;&gt;"", H54&lt;&gt;""), AVERAGE(G54,H54), "")</f>
        <v/>
      </c>
      <c r="K54" s="4" t="n"/>
      <c r="L54" s="4" t="n"/>
      <c r="M54" s="8">
        <f>IF(AND(K54&lt;&gt;"", L54&lt;&gt;""), K54-L54, "")</f>
        <v/>
      </c>
      <c r="N54" s="8">
        <f>IF(AND(K54&lt;&gt;"", L54&lt;&gt;""), AVERAGE(K54,L54), "")</f>
        <v/>
      </c>
      <c r="O54" s="4" t="n"/>
      <c r="P54" s="4" t="n"/>
      <c r="Q54" s="8">
        <f>IF(AND(O54&lt;&gt;"", P54&lt;&gt;""), O54-P54, "")</f>
        <v/>
      </c>
      <c r="R54" s="8">
        <f>IF(AND(O54&lt;&gt;"", P54&lt;&gt;""), AVERAGE(O54,P54), "")</f>
        <v/>
      </c>
      <c r="S54" s="4" t="n"/>
      <c r="T54" s="4" t="n"/>
      <c r="U54" s="8">
        <f>IF(AND(S54&lt;&gt;"", T54&lt;&gt;""), S54-T54, "")</f>
        <v/>
      </c>
      <c r="V54" s="8">
        <f>IF(AND(S54&lt;&gt;"", T54&lt;&gt;""), AVERAGE(S54,T54), "")</f>
        <v/>
      </c>
      <c r="W54" s="4" t="n"/>
      <c r="X54" s="4" t="n"/>
      <c r="Y54" s="8">
        <f>IF(AND(W54&lt;&gt;"", X54&lt;&gt;""), W54-X54, "")</f>
        <v/>
      </c>
      <c r="Z54" s="8">
        <f>IF(AND(W54&lt;&gt;"", X54&lt;&gt;""), AVERAGE(W54,X54), "")</f>
        <v/>
      </c>
    </row>
    <row r="55">
      <c r="A55" s="8" t="n">
        <v>51</v>
      </c>
      <c r="B55" s="3" t="inlineStr">
        <is>
          <t>Change Resilience</t>
        </is>
      </c>
      <c r="C55" s="3" t="inlineStr">
        <is>
          <t>Problem Solving</t>
        </is>
      </c>
      <c r="D55" s="8" t="inlineStr">
        <is>
          <t>CR-P3</t>
        </is>
      </c>
      <c r="E55" s="3" t="inlineStr">
        <is>
          <t>Pengambilan keputusan berbasis informasi
Saya menggunakan informasi, data, atau pengalaman yang relevan untuk menentukan solusi.</t>
        </is>
      </c>
      <c r="F55" s="3" t="inlineStr">
        <is>
          <t>Pengambilan keputusan berbasis informasi
Etoser menggunakan informasi, data, atau pengalaman yang relevan untuk menentukan solusi.</t>
        </is>
      </c>
      <c r="G55" s="4" t="n"/>
      <c r="H55" s="4" t="n"/>
      <c r="I55" s="8">
        <f>IF(AND(G55&lt;&gt;"", H55&lt;&gt;""), G55-H55, "")</f>
        <v/>
      </c>
      <c r="J55" s="8">
        <f>IF(AND(G55&lt;&gt;"", H55&lt;&gt;""), AVERAGE(G55,H55), "")</f>
        <v/>
      </c>
      <c r="K55" s="4" t="n"/>
      <c r="L55" s="4" t="n"/>
      <c r="M55" s="8">
        <f>IF(AND(K55&lt;&gt;"", L55&lt;&gt;""), K55-L55, "")</f>
        <v/>
      </c>
      <c r="N55" s="8">
        <f>IF(AND(K55&lt;&gt;"", L55&lt;&gt;""), AVERAGE(K55,L55), "")</f>
        <v/>
      </c>
      <c r="O55" s="4" t="n"/>
      <c r="P55" s="4" t="n"/>
      <c r="Q55" s="8">
        <f>IF(AND(O55&lt;&gt;"", P55&lt;&gt;""), O55-P55, "")</f>
        <v/>
      </c>
      <c r="R55" s="8">
        <f>IF(AND(O55&lt;&gt;"", P55&lt;&gt;""), AVERAGE(O55,P55), "")</f>
        <v/>
      </c>
      <c r="S55" s="4" t="n"/>
      <c r="T55" s="4" t="n"/>
      <c r="U55" s="8">
        <f>IF(AND(S55&lt;&gt;"", T55&lt;&gt;""), S55-T55, "")</f>
        <v/>
      </c>
      <c r="V55" s="8">
        <f>IF(AND(S55&lt;&gt;"", T55&lt;&gt;""), AVERAGE(S55,T55), "")</f>
        <v/>
      </c>
      <c r="W55" s="4" t="n"/>
      <c r="X55" s="4" t="n"/>
      <c r="Y55" s="8">
        <f>IF(AND(W55&lt;&gt;"", X55&lt;&gt;""), W55-X55, "")</f>
        <v/>
      </c>
      <c r="Z55" s="8">
        <f>IF(AND(W55&lt;&gt;"", X55&lt;&gt;""), AVERAGE(W55,X55), "")</f>
        <v/>
      </c>
    </row>
    <row r="56">
      <c r="A56" s="8" t="n">
        <v>52</v>
      </c>
      <c r="B56" s="3" t="inlineStr">
        <is>
          <t>Change Resilience</t>
        </is>
      </c>
      <c r="C56" s="3" t="inlineStr">
        <is>
          <t>Problem Solving</t>
        </is>
      </c>
      <c r="D56" s="8" t="inlineStr">
        <is>
          <t>CR-P4</t>
        </is>
      </c>
      <c r="E56" s="3" t="inlineStr">
        <is>
          <t>Evaluasi solusi
Saya mengevaluasi hasil solusi yang saya pilih dan melakukan perbaikan jika diperlukan.</t>
        </is>
      </c>
      <c r="F56" s="3" t="inlineStr">
        <is>
          <t>Evaluasi solusi
Etoser mengevaluasi hasil solusi yang Etoser pilih dan melakukan perbaikan jika diperlukan.</t>
        </is>
      </c>
      <c r="G56" s="4" t="n"/>
      <c r="H56" s="4" t="n"/>
      <c r="I56" s="8">
        <f>IF(AND(G56&lt;&gt;"", H56&lt;&gt;""), G56-H56, "")</f>
        <v/>
      </c>
      <c r="J56" s="8">
        <f>IF(AND(G56&lt;&gt;"", H56&lt;&gt;""), AVERAGE(G56,H56), "")</f>
        <v/>
      </c>
      <c r="K56" s="4" t="n"/>
      <c r="L56" s="4" t="n"/>
      <c r="M56" s="8">
        <f>IF(AND(K56&lt;&gt;"", L56&lt;&gt;""), K56-L56, "")</f>
        <v/>
      </c>
      <c r="N56" s="8">
        <f>IF(AND(K56&lt;&gt;"", L56&lt;&gt;""), AVERAGE(K56,L56), "")</f>
        <v/>
      </c>
      <c r="O56" s="4" t="n"/>
      <c r="P56" s="4" t="n"/>
      <c r="Q56" s="8">
        <f>IF(AND(O56&lt;&gt;"", P56&lt;&gt;""), O56-P56, "")</f>
        <v/>
      </c>
      <c r="R56" s="8">
        <f>IF(AND(O56&lt;&gt;"", P56&lt;&gt;""), AVERAGE(O56,P56), "")</f>
        <v/>
      </c>
      <c r="S56" s="4" t="n"/>
      <c r="T56" s="4" t="n"/>
      <c r="U56" s="8">
        <f>IF(AND(S56&lt;&gt;"", T56&lt;&gt;""), S56-T56, "")</f>
        <v/>
      </c>
      <c r="V56" s="8">
        <f>IF(AND(S56&lt;&gt;"", T56&lt;&gt;""), AVERAGE(S56,T56), "")</f>
        <v/>
      </c>
      <c r="W56" s="4" t="n"/>
      <c r="X56" s="4" t="n"/>
      <c r="Y56" s="8">
        <f>IF(AND(W56&lt;&gt;"", X56&lt;&gt;""), W56-X56, "")</f>
        <v/>
      </c>
      <c r="Z56" s="8">
        <f>IF(AND(W56&lt;&gt;"", X56&lt;&gt;""), AVERAGE(W56,X56), "")</f>
        <v/>
      </c>
    </row>
    <row r="57">
      <c r="A57" s="8" t="n">
        <v>53</v>
      </c>
      <c r="B57" s="3" t="inlineStr">
        <is>
          <t>Change Resilience</t>
        </is>
      </c>
      <c r="C57" s="3" t="inlineStr">
        <is>
          <t>Execution</t>
        </is>
      </c>
      <c r="D57" s="8" t="inlineStr">
        <is>
          <t>CR-E1</t>
        </is>
      </c>
      <c r="E57" s="3" t="inlineStr">
        <is>
          <t>Mengubah ide menjadi tindakan
Saya mampu mengubah ide atau rencana menjadi langkah kerja yang konkret.</t>
        </is>
      </c>
      <c r="F57" s="3" t="inlineStr">
        <is>
          <t>Mengubah ide menjadi tindakan
Etoser mampu mengubah ide atau rencana menjadi langkah kerja yang konkret.</t>
        </is>
      </c>
      <c r="G57" s="4" t="n"/>
      <c r="H57" s="4" t="n"/>
      <c r="I57" s="8">
        <f>IF(AND(G57&lt;&gt;"", H57&lt;&gt;""), G57-H57, "")</f>
        <v/>
      </c>
      <c r="J57" s="8">
        <f>IF(AND(G57&lt;&gt;"", H57&lt;&gt;""), AVERAGE(G57,H57), "")</f>
        <v/>
      </c>
      <c r="K57" s="4" t="n"/>
      <c r="L57" s="4" t="n"/>
      <c r="M57" s="8">
        <f>IF(AND(K57&lt;&gt;"", L57&lt;&gt;""), K57-L57, "")</f>
        <v/>
      </c>
      <c r="N57" s="8">
        <f>IF(AND(K57&lt;&gt;"", L57&lt;&gt;""), AVERAGE(K57,L57), "")</f>
        <v/>
      </c>
      <c r="O57" s="4" t="n"/>
      <c r="P57" s="4" t="n"/>
      <c r="Q57" s="8">
        <f>IF(AND(O57&lt;&gt;"", P57&lt;&gt;""), O57-P57, "")</f>
        <v/>
      </c>
      <c r="R57" s="8">
        <f>IF(AND(O57&lt;&gt;"", P57&lt;&gt;""), AVERAGE(O57,P57), "")</f>
        <v/>
      </c>
      <c r="S57" s="4" t="n"/>
      <c r="T57" s="4" t="n"/>
      <c r="U57" s="8">
        <f>IF(AND(S57&lt;&gt;"", T57&lt;&gt;""), S57-T57, "")</f>
        <v/>
      </c>
      <c r="V57" s="8">
        <f>IF(AND(S57&lt;&gt;"", T57&lt;&gt;""), AVERAGE(S57,T57), "")</f>
        <v/>
      </c>
      <c r="W57" s="4" t="n"/>
      <c r="X57" s="4" t="n"/>
      <c r="Y57" s="8">
        <f>IF(AND(W57&lt;&gt;"", X57&lt;&gt;""), W57-X57, "")</f>
        <v/>
      </c>
      <c r="Z57" s="8">
        <f>IF(AND(W57&lt;&gt;"", X57&lt;&gt;""), AVERAGE(W57,X57), "")</f>
        <v/>
      </c>
    </row>
    <row r="58">
      <c r="A58" s="8" t="n">
        <v>54</v>
      </c>
      <c r="B58" s="3" t="inlineStr">
        <is>
          <t>Change Resilience</t>
        </is>
      </c>
      <c r="C58" s="3" t="inlineStr">
        <is>
          <t>Execution</t>
        </is>
      </c>
      <c r="D58" s="8" t="inlineStr">
        <is>
          <t>CR-E2</t>
        </is>
      </c>
      <c r="E58" s="3" t="inlineStr">
        <is>
          <t>Menyelesaikan pekerjaan
Saya mampu menjaga pekerjaan atau program tetap berjalan sampai menghasilkan keluaran yang jelas.</t>
        </is>
      </c>
      <c r="F58" s="3" t="inlineStr">
        <is>
          <t>Menyelesaikan pekerjaan
Etoser mampu menjaga pekerjaan atau program tetap berjalan sampai menghasilkan keluaran yang jelas.</t>
        </is>
      </c>
      <c r="G58" s="4" t="n"/>
      <c r="H58" s="4" t="n"/>
      <c r="I58" s="8">
        <f>IF(AND(G58&lt;&gt;"", H58&lt;&gt;""), G58-H58, "")</f>
        <v/>
      </c>
      <c r="J58" s="8">
        <f>IF(AND(G58&lt;&gt;"", H58&lt;&gt;""), AVERAGE(G58,H58), "")</f>
        <v/>
      </c>
      <c r="K58" s="4" t="n"/>
      <c r="L58" s="4" t="n"/>
      <c r="M58" s="8">
        <f>IF(AND(K58&lt;&gt;"", L58&lt;&gt;""), K58-L58, "")</f>
        <v/>
      </c>
      <c r="N58" s="8">
        <f>IF(AND(K58&lt;&gt;"", L58&lt;&gt;""), AVERAGE(K58,L58), "")</f>
        <v/>
      </c>
      <c r="O58" s="4" t="n"/>
      <c r="P58" s="4" t="n"/>
      <c r="Q58" s="8">
        <f>IF(AND(O58&lt;&gt;"", P58&lt;&gt;""), O58-P58, "")</f>
        <v/>
      </c>
      <c r="R58" s="8">
        <f>IF(AND(O58&lt;&gt;"", P58&lt;&gt;""), AVERAGE(O58,P58), "")</f>
        <v/>
      </c>
      <c r="S58" s="4" t="n"/>
      <c r="T58" s="4" t="n"/>
      <c r="U58" s="8">
        <f>IF(AND(S58&lt;&gt;"", T58&lt;&gt;""), S58-T58, "")</f>
        <v/>
      </c>
      <c r="V58" s="8">
        <f>IF(AND(S58&lt;&gt;"", T58&lt;&gt;""), AVERAGE(S58,T58), "")</f>
        <v/>
      </c>
      <c r="W58" s="4" t="n"/>
      <c r="X58" s="4" t="n"/>
      <c r="Y58" s="8">
        <f>IF(AND(W58&lt;&gt;"", X58&lt;&gt;""), W58-X58, "")</f>
        <v/>
      </c>
      <c r="Z58" s="8">
        <f>IF(AND(W58&lt;&gt;"", X58&lt;&gt;""), AVERAGE(W58,X58), "")</f>
        <v/>
      </c>
    </row>
    <row r="59">
      <c r="A59" s="8" t="n">
        <v>55</v>
      </c>
      <c r="B59" s="3" t="inlineStr">
        <is>
          <t>Change Resilience</t>
        </is>
      </c>
      <c r="C59" s="3" t="inlineStr">
        <is>
          <t>Execution</t>
        </is>
      </c>
      <c r="D59" s="8" t="inlineStr">
        <is>
          <t>CR-E3</t>
        </is>
      </c>
      <c r="E59" s="3" t="inlineStr">
        <is>
          <t>Monitoring dan adaptasi eksekusi
Saya memantau kemajuan pekerjaan dan melakukan penyesuaian ketika terjadi hambatan.</t>
        </is>
      </c>
      <c r="F59" s="3" t="inlineStr">
        <is>
          <t>Monitoring dan adaptasi eksekusi
Etoser memantau kemajuan pekerjaan dan melakukan penyesuaian ketika terjadi hambatan.</t>
        </is>
      </c>
      <c r="G59" s="4" t="n"/>
      <c r="H59" s="4" t="n"/>
      <c r="I59" s="8">
        <f>IF(AND(G59&lt;&gt;"", H59&lt;&gt;""), G59-H59, "")</f>
        <v/>
      </c>
      <c r="J59" s="8">
        <f>IF(AND(G59&lt;&gt;"", H59&lt;&gt;""), AVERAGE(G59,H59), "")</f>
        <v/>
      </c>
      <c r="K59" s="4" t="n"/>
      <c r="L59" s="4" t="n"/>
      <c r="M59" s="8">
        <f>IF(AND(K59&lt;&gt;"", L59&lt;&gt;""), K59-L59, "")</f>
        <v/>
      </c>
      <c r="N59" s="8">
        <f>IF(AND(K59&lt;&gt;"", L59&lt;&gt;""), AVERAGE(K59,L59), "")</f>
        <v/>
      </c>
      <c r="O59" s="4" t="n"/>
      <c r="P59" s="4" t="n"/>
      <c r="Q59" s="8">
        <f>IF(AND(O59&lt;&gt;"", P59&lt;&gt;""), O59-P59, "")</f>
        <v/>
      </c>
      <c r="R59" s="8">
        <f>IF(AND(O59&lt;&gt;"", P59&lt;&gt;""), AVERAGE(O59,P59), "")</f>
        <v/>
      </c>
      <c r="S59" s="4" t="n"/>
      <c r="T59" s="4" t="n"/>
      <c r="U59" s="8">
        <f>IF(AND(S59&lt;&gt;"", T59&lt;&gt;""), S59-T59, "")</f>
        <v/>
      </c>
      <c r="V59" s="8">
        <f>IF(AND(S59&lt;&gt;"", T59&lt;&gt;""), AVERAGE(S59,T59), "")</f>
        <v/>
      </c>
      <c r="W59" s="4" t="n"/>
      <c r="X59" s="4" t="n"/>
      <c r="Y59" s="8">
        <f>IF(AND(W59&lt;&gt;"", X59&lt;&gt;""), W59-X59, "")</f>
        <v/>
      </c>
      <c r="Z59" s="8">
        <f>IF(AND(W59&lt;&gt;"", X59&lt;&gt;""), AVERAGE(W59,X59), "")</f>
        <v/>
      </c>
    </row>
    <row r="60">
      <c r="A60" s="8" t="n">
        <v>56</v>
      </c>
      <c r="B60" s="3" t="inlineStr">
        <is>
          <t>Change Resilience</t>
        </is>
      </c>
      <c r="C60" s="3" t="inlineStr">
        <is>
          <t>Execution</t>
        </is>
      </c>
      <c r="D60" s="8" t="inlineStr">
        <is>
          <t>CR-E4</t>
        </is>
      </c>
      <c r="E60" s="3" t="inlineStr">
        <is>
          <t>Legacy dan keberlanjutan
Saya memastikan hasil atau sistem yang saya bangun tetap dapat digunakan dan memberikan manfaat setelah pekerjaan utama selesai.</t>
        </is>
      </c>
      <c r="F60" s="3" t="inlineStr">
        <is>
          <t>Legacy dan keberlanjutan
Etoser memastikan hasil atau sistem yang Etoser bangun tetap dapat digunakan dan memberikan manfaat setelah pekerjaan utama selesai.</t>
        </is>
      </c>
      <c r="G60" s="4" t="n"/>
      <c r="H60" s="4" t="n"/>
      <c r="I60" s="8">
        <f>IF(AND(G60&lt;&gt;"", H60&lt;&gt;""), G60-H60, "")</f>
        <v/>
      </c>
      <c r="J60" s="8">
        <f>IF(AND(G60&lt;&gt;"", H60&lt;&gt;""), AVERAGE(G60,H60), "")</f>
        <v/>
      </c>
      <c r="K60" s="4" t="n"/>
      <c r="L60" s="4" t="n"/>
      <c r="M60" s="8">
        <f>IF(AND(K60&lt;&gt;"", L60&lt;&gt;""), K60-L60, "")</f>
        <v/>
      </c>
      <c r="N60" s="8">
        <f>IF(AND(K60&lt;&gt;"", L60&lt;&gt;""), AVERAGE(K60,L60), "")</f>
        <v/>
      </c>
      <c r="O60" s="4" t="n"/>
      <c r="P60" s="4" t="n"/>
      <c r="Q60" s="8">
        <f>IF(AND(O60&lt;&gt;"", P60&lt;&gt;""), O60-P60, "")</f>
        <v/>
      </c>
      <c r="R60" s="8">
        <f>IF(AND(O60&lt;&gt;"", P60&lt;&gt;""), AVERAGE(O60,P60), "")</f>
        <v/>
      </c>
      <c r="S60" s="4" t="n"/>
      <c r="T60" s="4" t="n"/>
      <c r="U60" s="8">
        <f>IF(AND(S60&lt;&gt;"", T60&lt;&gt;""), S60-T60, "")</f>
        <v/>
      </c>
      <c r="V60" s="8">
        <f>IF(AND(S60&lt;&gt;"", T60&lt;&gt;""), AVERAGE(S60,T60), "")</f>
        <v/>
      </c>
      <c r="W60" s="4" t="n"/>
      <c r="X60" s="4" t="n"/>
      <c r="Y60" s="8">
        <f>IF(AND(W60&lt;&gt;"", X60&lt;&gt;""), W60-X60, "")</f>
        <v/>
      </c>
      <c r="Z60" s="8">
        <f>IF(AND(W60&lt;&gt;"", X60&lt;&gt;""), AVERAGE(W60,X60), "")</f>
        <v/>
      </c>
    </row>
    <row r="61">
      <c r="A61" s="8" t="n">
        <v>57</v>
      </c>
      <c r="B61" s="3" t="inlineStr">
        <is>
          <t>Change Resilience</t>
        </is>
      </c>
      <c r="C61" s="3" t="inlineStr">
        <is>
          <t>Adaptability</t>
        </is>
      </c>
      <c r="D61" s="8" t="inlineStr">
        <is>
          <t>CR-AD1</t>
        </is>
      </c>
      <c r="E61" s="3" t="inlineStr">
        <is>
          <t>Adaptasi cara kerja
Saya mampu menyesuaikan cara kerja ketika situasi atau tuntutan berubah.</t>
        </is>
      </c>
      <c r="F61" s="3" t="inlineStr">
        <is>
          <t>Adaptasi cara kerja
Etoser mampu menyesuaikan cara kerja ketika situasi atau tuntutan berubah.</t>
        </is>
      </c>
      <c r="G61" s="4" t="n"/>
      <c r="H61" s="4" t="n"/>
      <c r="I61" s="8">
        <f>IF(AND(G61&lt;&gt;"", H61&lt;&gt;""), G61-H61, "")</f>
        <v/>
      </c>
      <c r="J61" s="8">
        <f>IF(AND(G61&lt;&gt;"", H61&lt;&gt;""), AVERAGE(G61,H61), "")</f>
        <v/>
      </c>
      <c r="K61" s="4" t="n"/>
      <c r="L61" s="4" t="n"/>
      <c r="M61" s="8">
        <f>IF(AND(K61&lt;&gt;"", L61&lt;&gt;""), K61-L61, "")</f>
        <v/>
      </c>
      <c r="N61" s="8">
        <f>IF(AND(K61&lt;&gt;"", L61&lt;&gt;""), AVERAGE(K61,L61), "")</f>
        <v/>
      </c>
      <c r="O61" s="4" t="n"/>
      <c r="P61" s="4" t="n"/>
      <c r="Q61" s="8">
        <f>IF(AND(O61&lt;&gt;"", P61&lt;&gt;""), O61-P61, "")</f>
        <v/>
      </c>
      <c r="R61" s="8">
        <f>IF(AND(O61&lt;&gt;"", P61&lt;&gt;""), AVERAGE(O61,P61), "")</f>
        <v/>
      </c>
      <c r="S61" s="4" t="n"/>
      <c r="T61" s="4" t="n"/>
      <c r="U61" s="8">
        <f>IF(AND(S61&lt;&gt;"", T61&lt;&gt;""), S61-T61, "")</f>
        <v/>
      </c>
      <c r="V61" s="8">
        <f>IF(AND(S61&lt;&gt;"", T61&lt;&gt;""), AVERAGE(S61,T61), "")</f>
        <v/>
      </c>
      <c r="W61" s="4" t="n"/>
      <c r="X61" s="4" t="n"/>
      <c r="Y61" s="8">
        <f>IF(AND(W61&lt;&gt;"", X61&lt;&gt;""), W61-X61, "")</f>
        <v/>
      </c>
      <c r="Z61" s="8">
        <f>IF(AND(W61&lt;&gt;"", X61&lt;&gt;""), AVERAGE(W61,X61), "")</f>
        <v/>
      </c>
    </row>
    <row r="62">
      <c r="A62" s="8" t="n">
        <v>58</v>
      </c>
      <c r="B62" s="3" t="inlineStr">
        <is>
          <t>Change Resilience</t>
        </is>
      </c>
      <c r="C62" s="3" t="inlineStr">
        <is>
          <t>Adaptability</t>
        </is>
      </c>
      <c r="D62" s="8" t="inlineStr">
        <is>
          <t>CR-AD2</t>
        </is>
      </c>
      <c r="E62" s="3" t="inlineStr">
        <is>
          <t>Menghadapi ketidakpastian
Saya tetap dapat mengambil keputusan dan bekerja ketika menghadapi ketidakpastian.</t>
        </is>
      </c>
      <c r="F62" s="3" t="inlineStr">
        <is>
          <t>Menghadapi ketidakpastian
Etoser tetap dapat mengambil keputusan dan bekerja ketika menghadapi ketidakpastian.</t>
        </is>
      </c>
      <c r="G62" s="4" t="n"/>
      <c r="H62" s="4" t="n"/>
      <c r="I62" s="8">
        <f>IF(AND(G62&lt;&gt;"", H62&lt;&gt;""), G62-H62, "")</f>
        <v/>
      </c>
      <c r="J62" s="8">
        <f>IF(AND(G62&lt;&gt;"", H62&lt;&gt;""), AVERAGE(G62,H62), "")</f>
        <v/>
      </c>
      <c r="K62" s="4" t="n"/>
      <c r="L62" s="4" t="n"/>
      <c r="M62" s="8">
        <f>IF(AND(K62&lt;&gt;"", L62&lt;&gt;""), K62-L62, "")</f>
        <v/>
      </c>
      <c r="N62" s="8">
        <f>IF(AND(K62&lt;&gt;"", L62&lt;&gt;""), AVERAGE(K62,L62), "")</f>
        <v/>
      </c>
      <c r="O62" s="4" t="n"/>
      <c r="P62" s="4" t="n"/>
      <c r="Q62" s="8">
        <f>IF(AND(O62&lt;&gt;"", P62&lt;&gt;""), O62-P62, "")</f>
        <v/>
      </c>
      <c r="R62" s="8">
        <f>IF(AND(O62&lt;&gt;"", P62&lt;&gt;""), AVERAGE(O62,P62), "")</f>
        <v/>
      </c>
      <c r="S62" s="4" t="n"/>
      <c r="T62" s="4" t="n"/>
      <c r="U62" s="8">
        <f>IF(AND(S62&lt;&gt;"", T62&lt;&gt;""), S62-T62, "")</f>
        <v/>
      </c>
      <c r="V62" s="8">
        <f>IF(AND(S62&lt;&gt;"", T62&lt;&gt;""), AVERAGE(S62,T62), "")</f>
        <v/>
      </c>
      <c r="W62" s="4" t="n"/>
      <c r="X62" s="4" t="n"/>
      <c r="Y62" s="8">
        <f>IF(AND(W62&lt;&gt;"", X62&lt;&gt;""), W62-X62, "")</f>
        <v/>
      </c>
      <c r="Z62" s="8">
        <f>IF(AND(W62&lt;&gt;"", X62&lt;&gt;""), AVERAGE(W62,X62), "")</f>
        <v/>
      </c>
    </row>
    <row r="63">
      <c r="A63" s="8" t="n">
        <v>59</v>
      </c>
      <c r="B63" s="3" t="inlineStr">
        <is>
          <t>Change Resilience</t>
        </is>
      </c>
      <c r="C63" s="3" t="inlineStr">
        <is>
          <t>Adaptability</t>
        </is>
      </c>
      <c r="D63" s="8" t="inlineStr">
        <is>
          <t>CR-AD3</t>
        </is>
      </c>
      <c r="E63" s="3" t="inlineStr">
        <is>
          <t>Bangkit dari kegagalan
Saya mampu bangkit dan kembali produktif setelah mengalami kegagalan atau kemunduran.</t>
        </is>
      </c>
      <c r="F63" s="3" t="inlineStr">
        <is>
          <t>Bangkit dari kegagalan
Etoser mampu bangkit dan kembali produktif setelah mengalami kegagalan atau kemunduran.</t>
        </is>
      </c>
      <c r="G63" s="4" t="n"/>
      <c r="H63" s="4" t="n"/>
      <c r="I63" s="8">
        <f>IF(AND(G63&lt;&gt;"", H63&lt;&gt;""), G63-H63, "")</f>
        <v/>
      </c>
      <c r="J63" s="8">
        <f>IF(AND(G63&lt;&gt;"", H63&lt;&gt;""), AVERAGE(G63,H63), "")</f>
        <v/>
      </c>
      <c r="K63" s="4" t="n"/>
      <c r="L63" s="4" t="n"/>
      <c r="M63" s="8">
        <f>IF(AND(K63&lt;&gt;"", L63&lt;&gt;""), K63-L63, "")</f>
        <v/>
      </c>
      <c r="N63" s="8">
        <f>IF(AND(K63&lt;&gt;"", L63&lt;&gt;""), AVERAGE(K63,L63), "")</f>
        <v/>
      </c>
      <c r="O63" s="4" t="n"/>
      <c r="P63" s="4" t="n"/>
      <c r="Q63" s="8">
        <f>IF(AND(O63&lt;&gt;"", P63&lt;&gt;""), O63-P63, "")</f>
        <v/>
      </c>
      <c r="R63" s="8">
        <f>IF(AND(O63&lt;&gt;"", P63&lt;&gt;""), AVERAGE(O63,P63), "")</f>
        <v/>
      </c>
      <c r="S63" s="4" t="n"/>
      <c r="T63" s="4" t="n"/>
      <c r="U63" s="8">
        <f>IF(AND(S63&lt;&gt;"", T63&lt;&gt;""), S63-T63, "")</f>
        <v/>
      </c>
      <c r="V63" s="8">
        <f>IF(AND(S63&lt;&gt;"", T63&lt;&gt;""), AVERAGE(S63,T63), "")</f>
        <v/>
      </c>
      <c r="W63" s="4" t="n"/>
      <c r="X63" s="4" t="n"/>
      <c r="Y63" s="8">
        <f>IF(AND(W63&lt;&gt;"", X63&lt;&gt;""), W63-X63, "")</f>
        <v/>
      </c>
      <c r="Z63" s="8">
        <f>IF(AND(W63&lt;&gt;"", X63&lt;&gt;""), AVERAGE(W63,X63), "")</f>
        <v/>
      </c>
    </row>
    <row r="64">
      <c r="A64" s="8" t="n">
        <v>60</v>
      </c>
      <c r="B64" s="3" t="inlineStr">
        <is>
          <t>Change Resilience</t>
        </is>
      </c>
      <c r="C64" s="3" t="inlineStr">
        <is>
          <t>Adaptability</t>
        </is>
      </c>
      <c r="D64" s="8" t="inlineStr">
        <is>
          <t>CR-AD4</t>
        </is>
      </c>
      <c r="E64" s="3" t="inlineStr">
        <is>
          <t>Fleksibilitas strategis
Saya mampu mengubah strategi tanpa kehilangan tujuan utama ketika kondisi berubah.</t>
        </is>
      </c>
      <c r="F64" s="3" t="inlineStr">
        <is>
          <t>Fleksibilitas strategis
Etoser mampu mengubah strategi tanpa kehilangan tujuan utama ketika kondisi berubah.</t>
        </is>
      </c>
      <c r="G64" s="4" t="n"/>
      <c r="H64" s="4" t="n"/>
      <c r="I64" s="8">
        <f>IF(AND(G64&lt;&gt;"", H64&lt;&gt;""), G64-H64, "")</f>
        <v/>
      </c>
      <c r="J64" s="8">
        <f>IF(AND(G64&lt;&gt;"", H64&lt;&gt;""), AVERAGE(G64,H64), "")</f>
        <v/>
      </c>
      <c r="K64" s="4" t="n"/>
      <c r="L64" s="4" t="n"/>
      <c r="M64" s="8">
        <f>IF(AND(K64&lt;&gt;"", L64&lt;&gt;""), K64-L64, "")</f>
        <v/>
      </c>
      <c r="N64" s="8">
        <f>IF(AND(K64&lt;&gt;"", L64&lt;&gt;""), AVERAGE(K64,L64), "")</f>
        <v/>
      </c>
      <c r="O64" s="4" t="n"/>
      <c r="P64" s="4" t="n"/>
      <c r="Q64" s="8">
        <f>IF(AND(O64&lt;&gt;"", P64&lt;&gt;""), O64-P64, "")</f>
        <v/>
      </c>
      <c r="R64" s="8">
        <f>IF(AND(O64&lt;&gt;"", P64&lt;&gt;""), AVERAGE(O64,P64), "")</f>
        <v/>
      </c>
      <c r="S64" s="4" t="n"/>
      <c r="T64" s="4" t="n"/>
      <c r="U64" s="8">
        <f>IF(AND(S64&lt;&gt;"", T64&lt;&gt;""), S64-T64, "")</f>
        <v/>
      </c>
      <c r="V64" s="8">
        <f>IF(AND(S64&lt;&gt;"", T64&lt;&gt;""), AVERAGE(S64,T64), "")</f>
        <v/>
      </c>
      <c r="W64" s="4" t="n"/>
      <c r="X64" s="4" t="n"/>
      <c r="Y64" s="8">
        <f>IF(AND(W64&lt;&gt;"", X64&lt;&gt;""), W64-X64, "")</f>
        <v/>
      </c>
      <c r="Z64" s="8">
        <f>IF(AND(W64&lt;&gt;"", X64&lt;&gt;""), AVERAGE(W64,X64), "")</f>
        <v/>
      </c>
    </row>
    <row r="65">
      <c r="A65" s="8" t="n">
        <v>61</v>
      </c>
      <c r="B65" s="3" t="inlineStr">
        <is>
          <t>Change Resilience</t>
        </is>
      </c>
      <c r="C65" s="3" t="inlineStr">
        <is>
          <t>Leadership &amp; Influence</t>
        </is>
      </c>
      <c r="D65" s="8" t="inlineStr">
        <is>
          <t>CR-L1</t>
        </is>
      </c>
      <c r="E65" s="3" t="inlineStr">
        <is>
          <t>Mengambil peran
Saya berani mengambil peran ketika melihat kebutuhan atau persoalan yang perlu ditangani.</t>
        </is>
      </c>
      <c r="F65" s="3" t="inlineStr">
        <is>
          <t>Mengambil peran
Etoser berani mengambil peran ketika melihat kebutuhan atau persoalan yang perlu ditangani.</t>
        </is>
      </c>
      <c r="G65" s="4" t="n"/>
      <c r="H65" s="4" t="n"/>
      <c r="I65" s="8">
        <f>IF(AND(G65&lt;&gt;"", H65&lt;&gt;""), G65-H65, "")</f>
        <v/>
      </c>
      <c r="J65" s="8">
        <f>IF(AND(G65&lt;&gt;"", H65&lt;&gt;""), AVERAGE(G65,H65), "")</f>
        <v/>
      </c>
      <c r="K65" s="4" t="n"/>
      <c r="L65" s="4" t="n"/>
      <c r="M65" s="8">
        <f>IF(AND(K65&lt;&gt;"", L65&lt;&gt;""), K65-L65, "")</f>
        <v/>
      </c>
      <c r="N65" s="8">
        <f>IF(AND(K65&lt;&gt;"", L65&lt;&gt;""), AVERAGE(K65,L65), "")</f>
        <v/>
      </c>
      <c r="O65" s="4" t="n"/>
      <c r="P65" s="4" t="n"/>
      <c r="Q65" s="8">
        <f>IF(AND(O65&lt;&gt;"", P65&lt;&gt;""), O65-P65, "")</f>
        <v/>
      </c>
      <c r="R65" s="8">
        <f>IF(AND(O65&lt;&gt;"", P65&lt;&gt;""), AVERAGE(O65,P65), "")</f>
        <v/>
      </c>
      <c r="S65" s="4" t="n"/>
      <c r="T65" s="4" t="n"/>
      <c r="U65" s="8">
        <f>IF(AND(S65&lt;&gt;"", T65&lt;&gt;""), S65-T65, "")</f>
        <v/>
      </c>
      <c r="V65" s="8">
        <f>IF(AND(S65&lt;&gt;"", T65&lt;&gt;""), AVERAGE(S65,T65), "")</f>
        <v/>
      </c>
      <c r="W65" s="4" t="n"/>
      <c r="X65" s="4" t="n"/>
      <c r="Y65" s="8">
        <f>IF(AND(W65&lt;&gt;"", X65&lt;&gt;""), W65-X65, "")</f>
        <v/>
      </c>
      <c r="Z65" s="8">
        <f>IF(AND(W65&lt;&gt;"", X65&lt;&gt;""), AVERAGE(W65,X65), "")</f>
        <v/>
      </c>
    </row>
    <row r="66">
      <c r="A66" s="8" t="n">
        <v>62</v>
      </c>
      <c r="B66" s="3" t="inlineStr">
        <is>
          <t>Change Resilience</t>
        </is>
      </c>
      <c r="C66" s="3" t="inlineStr">
        <is>
          <t>Leadership &amp; Influence</t>
        </is>
      </c>
      <c r="D66" s="8" t="inlineStr">
        <is>
          <t>CR-L2</t>
        </is>
      </c>
      <c r="E66" s="3" t="inlineStr">
        <is>
          <t>Influence
Saya mampu mengajak dan memengaruhi orang lain untuk bergerak menuju tujuan bersama.</t>
        </is>
      </c>
      <c r="F66" s="3" t="inlineStr">
        <is>
          <t>Influence
Etoser mampu mengajak dan memengaruhi orang lain untuk bergerak menuju tujuan bersama.</t>
        </is>
      </c>
      <c r="G66" s="4" t="n"/>
      <c r="H66" s="4" t="n"/>
      <c r="I66" s="8">
        <f>IF(AND(G66&lt;&gt;"", H66&lt;&gt;""), G66-H66, "")</f>
        <v/>
      </c>
      <c r="J66" s="8">
        <f>IF(AND(G66&lt;&gt;"", H66&lt;&gt;""), AVERAGE(G66,H66), "")</f>
        <v/>
      </c>
      <c r="K66" s="4" t="n"/>
      <c r="L66" s="4" t="n"/>
      <c r="M66" s="8">
        <f>IF(AND(K66&lt;&gt;"", L66&lt;&gt;""), K66-L66, "")</f>
        <v/>
      </c>
      <c r="N66" s="8">
        <f>IF(AND(K66&lt;&gt;"", L66&lt;&gt;""), AVERAGE(K66,L66), "")</f>
        <v/>
      </c>
      <c r="O66" s="4" t="n"/>
      <c r="P66" s="4" t="n"/>
      <c r="Q66" s="8">
        <f>IF(AND(O66&lt;&gt;"", P66&lt;&gt;""), O66-P66, "")</f>
        <v/>
      </c>
      <c r="R66" s="8">
        <f>IF(AND(O66&lt;&gt;"", P66&lt;&gt;""), AVERAGE(O66,P66), "")</f>
        <v/>
      </c>
      <c r="S66" s="4" t="n"/>
      <c r="T66" s="4" t="n"/>
      <c r="U66" s="8">
        <f>IF(AND(S66&lt;&gt;"", T66&lt;&gt;""), S66-T66, "")</f>
        <v/>
      </c>
      <c r="V66" s="8">
        <f>IF(AND(S66&lt;&gt;"", T66&lt;&gt;""), AVERAGE(S66,T66), "")</f>
        <v/>
      </c>
      <c r="W66" s="4" t="n"/>
      <c r="X66" s="4" t="n"/>
      <c r="Y66" s="8">
        <f>IF(AND(W66&lt;&gt;"", X66&lt;&gt;""), W66-X66, "")</f>
        <v/>
      </c>
      <c r="Z66" s="8">
        <f>IF(AND(W66&lt;&gt;"", X66&lt;&gt;""), AVERAGE(W66,X66), "")</f>
        <v/>
      </c>
    </row>
    <row r="67">
      <c r="A67" s="8" t="n">
        <v>63</v>
      </c>
      <c r="B67" s="3" t="inlineStr">
        <is>
          <t>Change Resilience</t>
        </is>
      </c>
      <c r="C67" s="3" t="inlineStr">
        <is>
          <t>Leadership &amp; Influence</t>
        </is>
      </c>
      <c r="D67" s="8" t="inlineStr">
        <is>
          <t>CR-L3</t>
        </is>
      </c>
      <c r="E67" s="3" t="inlineStr">
        <is>
          <t>Memimpin perubahan
Saya mampu memimpin kegiatan atau inisiatif yang menghasilkan perubahan nyata bagi lingkungan saya.</t>
        </is>
      </c>
      <c r="F67" s="3" t="inlineStr">
        <is>
          <t>Memimpin perubahan
Etoser mampu memimpin kegiatan atau inisiatif yang menghasilkan perubahan nyata bagi lingkungan Etoser.</t>
        </is>
      </c>
      <c r="G67" s="4" t="n"/>
      <c r="H67" s="4" t="n"/>
      <c r="I67" s="8">
        <f>IF(AND(G67&lt;&gt;"", H67&lt;&gt;""), G67-H67, "")</f>
        <v/>
      </c>
      <c r="J67" s="8">
        <f>IF(AND(G67&lt;&gt;"", H67&lt;&gt;""), AVERAGE(G67,H67), "")</f>
        <v/>
      </c>
      <c r="K67" s="4" t="n"/>
      <c r="L67" s="4" t="n"/>
      <c r="M67" s="8">
        <f>IF(AND(K67&lt;&gt;"", L67&lt;&gt;""), K67-L67, "")</f>
        <v/>
      </c>
      <c r="N67" s="8">
        <f>IF(AND(K67&lt;&gt;"", L67&lt;&gt;""), AVERAGE(K67,L67), "")</f>
        <v/>
      </c>
      <c r="O67" s="4" t="n"/>
      <c r="P67" s="4" t="n"/>
      <c r="Q67" s="8">
        <f>IF(AND(O67&lt;&gt;"", P67&lt;&gt;""), O67-P67, "")</f>
        <v/>
      </c>
      <c r="R67" s="8">
        <f>IF(AND(O67&lt;&gt;"", P67&lt;&gt;""), AVERAGE(O67,P67), "")</f>
        <v/>
      </c>
      <c r="S67" s="4" t="n"/>
      <c r="T67" s="4" t="n"/>
      <c r="U67" s="8">
        <f>IF(AND(S67&lt;&gt;"", T67&lt;&gt;""), S67-T67, "")</f>
        <v/>
      </c>
      <c r="V67" s="8">
        <f>IF(AND(S67&lt;&gt;"", T67&lt;&gt;""), AVERAGE(S67,T67), "")</f>
        <v/>
      </c>
      <c r="W67" s="4" t="n"/>
      <c r="X67" s="4" t="n"/>
      <c r="Y67" s="8">
        <f>IF(AND(W67&lt;&gt;"", X67&lt;&gt;""), W67-X67, "")</f>
        <v/>
      </c>
      <c r="Z67" s="8">
        <f>IF(AND(W67&lt;&gt;"", X67&lt;&gt;""), AVERAGE(W67,X67), "")</f>
        <v/>
      </c>
    </row>
    <row r="68">
      <c r="A68" s="8" t="n">
        <v>64</v>
      </c>
      <c r="B68" s="3" t="inlineStr">
        <is>
          <t>Change Resilience</t>
        </is>
      </c>
      <c r="C68" s="3" t="inlineStr">
        <is>
          <t>Leadership &amp; Influence</t>
        </is>
      </c>
      <c r="D68" s="8" t="inlineStr">
        <is>
          <t>CR-L4</t>
        </is>
      </c>
      <c r="E68" s="3" t="inlineStr">
        <is>
          <t>Legacy &amp; Regeneration
Saya mampu membangun sistem, mengembangkan penerus, atau menyiapkan keberlanjutan agar perubahan yang saya mulai tetap berjalan tanpa ketergantungan pada diri saya.</t>
        </is>
      </c>
      <c r="F68" s="3" t="inlineStr">
        <is>
          <t>Legacy &amp; Regeneration
Etoser mampu membangun sistem, mengembangkan penerus, atau menyiapkan keberlanjutan agar perubahan yang Etoser mulai tetap berjalan tanpa ketergantungan pada diri Etoser.</t>
        </is>
      </c>
      <c r="G68" s="4" t="n"/>
      <c r="H68" s="4" t="n"/>
      <c r="I68" s="8">
        <f>IF(AND(G68&lt;&gt;"", H68&lt;&gt;""), G68-H68, "")</f>
        <v/>
      </c>
      <c r="J68" s="8">
        <f>IF(AND(G68&lt;&gt;"", H68&lt;&gt;""), AVERAGE(G68,H68), "")</f>
        <v/>
      </c>
      <c r="K68" s="4" t="n"/>
      <c r="L68" s="4" t="n"/>
      <c r="M68" s="8">
        <f>IF(AND(K68&lt;&gt;"", L68&lt;&gt;""), K68-L68, "")</f>
        <v/>
      </c>
      <c r="N68" s="8">
        <f>IF(AND(K68&lt;&gt;"", L68&lt;&gt;""), AVERAGE(K68,L68), "")</f>
        <v/>
      </c>
      <c r="O68" s="4" t="n"/>
      <c r="P68" s="4" t="n"/>
      <c r="Q68" s="8">
        <f>IF(AND(O68&lt;&gt;"", P68&lt;&gt;""), O68-P68, "")</f>
        <v/>
      </c>
      <c r="R68" s="8">
        <f>IF(AND(O68&lt;&gt;"", P68&lt;&gt;""), AVERAGE(O68,P68), "")</f>
        <v/>
      </c>
      <c r="S68" s="4" t="n"/>
      <c r="T68" s="4" t="n"/>
      <c r="U68" s="8">
        <f>IF(AND(S68&lt;&gt;"", T68&lt;&gt;""), S68-T68, "")</f>
        <v/>
      </c>
      <c r="V68" s="8">
        <f>IF(AND(S68&lt;&gt;"", T68&lt;&gt;""), AVERAGE(S68,T68), "")</f>
        <v/>
      </c>
      <c r="W68" s="4" t="n"/>
      <c r="X68" s="4" t="n"/>
      <c r="Y68" s="8">
        <f>IF(AND(W68&lt;&gt;"", X68&lt;&gt;""), W68-X68, "")</f>
        <v/>
      </c>
      <c r="Z68" s="8">
        <f>IF(AND(W68&lt;&gt;"", X68&lt;&gt;""), AVERAGE(W68,X68), "")</f>
        <v/>
      </c>
    </row>
  </sheetData>
  <mergeCells count="5">
    <mergeCell ref="W3:Z3"/>
    <mergeCell ref="S3:V3"/>
    <mergeCell ref="G3:J3"/>
    <mergeCell ref="K3:N3"/>
    <mergeCell ref="O3:R3"/>
  </mergeCells>
  <dataValidations count="1">
    <dataValidation sqref="G5 G6 G7 G8 G9 G10 G11 G12 G13 G14 G15 G16 G17 G18 G19 G20 G21 G22 G23 G24 G25 G26 G27 G28 G29 G30 G31 G32 G33 G34 G35 G36 G37 G38 G39 G40 G41 G42 G43 G44 G45 G46 G47 G48 G49 G50 G51 G52 G53 G54 G55 G56 G57 G58 G59 G60 G61 G62 G63 G64 G65 G66 G67 G68 H5 H6 H7 H8 H9 H10 H11 H12 H13 H14 H15 H16 H17 H18 H19 H20 H21 H22 H23 H24 H25 H26 H27 H28 H29 H30 H31 H32 H33 H34 H35 H36 H37 H38 H39 H40 H41 H42 H43 H44 H45 H46 H47 H48 H49 H50 H51 H52 H53 H54 H55 H56 H57 H58 H59 H60 H61 H62 H63 H64 H65 H66 H67 H68 K5 K6 K7 K8 K9 K10 K11 K12 K13 K14 K15 K16 K17 K18 K19 K20 K21 K22 K23 K24 K25 K26 K27 K28 K29 K30 K31 K32 K33 K34 K35 K36 K37 K38 K39 K40 K41 K42 K43 K44 K45 K46 K47 K48 K49 K50 K51 K52 K53 K54 K55 K56 K57 K58 K59 K60 K61 K62 K63 K64 K65 K66 K67 K68 L5 L6 L7 L8 L9 L10 L11 L12 L13 L14 L15 L16 L17 L18 L19 L20 L21 L22 L23 L24 L25 L26 L27 L28 L29 L30 L31 L32 L33 L34 L35 L36 L37 L38 L39 L40 L41 L42 L43 L44 L45 L46 L47 L48 L49 L50 L51 L52 L53 L54 L55 L56 L57 L58 L59 L60 L61 L62 L63 L64 L65 L66 L67 L68 O5 O6 O7 O8 O9 O10 O11 O12 O13 O14 O15 O16 O17 O18 O19 O20 O21 O22 O23 O24 O25 O26 O27 O28 O29 O30 O31 O32 O33 O34 O35 O36 O37 O38 O39 O40 O41 O42 O43 O44 O45 O46 O47 O48 O49 O50 O51 O52 O53 O54 O55 O56 O57 O58 O59 O60 O61 O62 O63 O64 O65 O66 O67 O68 P5 P6 P7 P8 P9 P10 P11 P12 P13 P14 P15 P16 P17 P18 P19 P20 P21 P22 P23 P24 P25 P26 P27 P28 P29 P30 P31 P32 P33 P34 P35 P36 P37 P38 P39 P40 P41 P42 P43 P44 P45 P46 P47 P48 P49 P50 P51 P52 P53 P54 P55 P56 P57 P58 P59 P60 P61 P62 P63 P64 P65 P66 P67 P68 S5 S6 S7 S8 S9 S10 S11 S12 S13 S14 S15 S16 S17 S18 S19 S20 S21 S22 S23 S24 S25 S26 S27 S28 S29 S30 S31 S32 S33 S34 S35 S36 S37 S38 S39 S40 S41 S42 S43 S44 S45 S46 S47 S48 S49 S50 S51 S52 S53 S54 S55 S56 S57 S58 S59 S60 S61 S62 S63 S64 S65 S66 S67 S68 T5 T6 T7 T8 T9 T10 T11 T12 T13 T14 T15 T16 T17 T18 T19 T20 T21 T22 T23 T24 T25 T26 T27 T28 T29 T30 T31 T32 T33 T34 T35 T36 T37 T38 T39 T40 T41 T42 T43 T44 T45 T46 T47 T48 T49 T50 T51 T52 T53 T54 T55 T56 T57 T58 T59 T60 T61 T62 T63 T64 T65 T66 T67 T68 W5 W6 W7 W8 W9 W10 W11 W12 W13 W14 W15 W16 W17 W18 W19 W20 W21 W22 W23 W24 W25 W26 W27 W28 W29 W30 W31 W32 W33 W34 W35 W36 W37 W38 W39 W40 W41 W42 W43 W44 W45 W46 W47 W48 W49 W50 W51 W52 W53 W54 W55 W56 W57 W58 W59 W60 W61 W62 W63 W64 W65 W66 W67 W68 X5 X6 X7 X8 X9 X10 X11 X12 X13 X14 X15 X16 X17 X18 X19 X20 X21 X22 X23 X24 X25 X26 X27 X28 X29 X30 X31 X32 X33 X34 X35 X36 X37 X38 X39 X40 X41 X42 X43 X44 X45 X46 X47 X48 X49 X50 X51 X52 X53 X54 X55 X56 X57 X58 X59 X60 X61 X62 X63 X64 X65 X66 X67 X68" showDropDown="0" showInputMessage="0" showErrorMessage="0" allowBlank="1" type="list">
      <formula1>"1,2,3,4"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cols>
    <col width="10" customWidth="1" min="1" max="1"/>
    <col width="35" customWidth="1" min="2" max="2"/>
    <col width="30" customWidth="1" min="3" max="3"/>
    <col width="30" customWidth="1" min="4" max="4"/>
    <col width="30" customWidth="1" min="5" max="5"/>
    <col width="30" customWidth="1" min="6" max="6"/>
  </cols>
  <sheetData>
    <row r="1">
      <c r="A1" s="2" t="inlineStr">
        <is>
          <t>Kode</t>
        </is>
      </c>
      <c r="B1" s="2" t="inlineStr">
        <is>
          <t>Topik / Pernyataan</t>
        </is>
      </c>
      <c r="C1" s="2" t="inlineStr">
        <is>
          <t>Level 1 (Emerging)</t>
        </is>
      </c>
      <c r="D1" s="2" t="inlineStr">
        <is>
          <t>Level 2 (Developing)</t>
        </is>
      </c>
      <c r="E1" s="2" t="inlineStr">
        <is>
          <t>Level 3 (Transformative)</t>
        </is>
      </c>
      <c r="F1" s="2" t="inlineStr">
        <is>
          <t>Level 4 (Resilient)</t>
        </is>
      </c>
    </row>
    <row r="2">
      <c r="A2" s="8" t="inlineStr">
        <is>
          <t>VR-S1</t>
        </is>
      </c>
      <c r="B2" s="3" t="inlineStr">
        <is>
          <t>Menjaga ibadah di tengah kesibukan
Saya menjadikan ibadah sebagai bagian yang terjaga dalam rutinitas hidup saya, termasuk ketika kesibukan meningkat.</t>
        </is>
      </c>
      <c r="C2" s="3" t="inlineStr">
        <is>
          <t>Saya menjalankan ibadah ketika rutinitas dan kondisi saya mendukung atau ketika diingatkan.</t>
        </is>
      </c>
      <c r="D2" s="3" t="inlineStr">
        <is>
          <t>Saya mampu menjaga rutinitas ibadah secara mandiri meskipun memiliki kesibukan akademik atau kegiatan lainnya.</t>
        </is>
      </c>
      <c r="E2" s="3" t="inlineStr">
        <is>
          <t>Saya tetap menjaga ibadah sebagai prioritas ketika menghadapi kesibukan, tekanan, atau perubahan rutinitas.</t>
        </is>
      </c>
      <c r="F2" s="3" t="inlineStr">
        <is>
          <t>Saya mampu mempertahankan prioritas ibadah dalam berbagai kondisi dan menjadikannya sumber kekuatan dalam menghadapi tekanan serta mengambil keputusan.</t>
        </is>
      </c>
    </row>
    <row r="3">
      <c r="A3" s="8" t="inlineStr">
        <is>
          <t>VR-S2</t>
        </is>
      </c>
      <c r="B3" s="3" t="inlineStr">
        <is>
          <t>Nilai Islam dalam pengambilan keputusan
Saya menggunakan nilai-nilai Islam sebagai pertimbangan ketika mengambil keputusan penting.</t>
        </is>
      </c>
      <c r="C3" s="3" t="inlineStr">
        <is>
          <t>Saya mempertimbangkan nilai-nilai Islam ketika diarahkan atau diingatkan oleh orang lain.</t>
        </is>
      </c>
      <c r="D3" s="3" t="inlineStr">
        <is>
          <t>Saya mulai menggunakan nilai-nilai Islam secara mandiri dalam keputusan sehari-hari.</t>
        </is>
      </c>
      <c r="E3" s="3" t="inlineStr">
        <is>
          <t>Saya secara sadar menggunakan nilai-nilai Islam ketika menghadapi keputusan yang kompleks atau memiliki konsekuensi bagi orang lain.</t>
        </is>
      </c>
      <c r="F3" s="3" t="inlineStr">
        <is>
          <t>Saya konsisten menjadikan nilai-nilai Islam sebagai prinsip dalam keputusan penting, termasuk ketika menghadapi tekanan atau kepentingan yang bertentangan.</t>
        </is>
      </c>
    </row>
    <row r="4">
      <c r="A4" s="8" t="inlineStr">
        <is>
          <t>VR-S3</t>
        </is>
      </c>
      <c r="B4" s="3" t="inlineStr">
        <is>
          <t>Kekuatan spiritual dalam menghadapi tekanan
Saya berikhtiar memperbaiki kualitas hubungan saya dengan Allah ketika menghadapi kegagalan, tekanan, atau perubahan hidup.</t>
        </is>
      </c>
      <c r="C4" s="3" t="inlineStr">
        <is>
          <t>Saya mencari kembali ketenangan melalui ibadah setelah mendapatkan arahan atau dukungan dari orang lain.</t>
        </is>
      </c>
      <c r="D4" s="3" t="inlineStr">
        <is>
          <t>Saya secara mandiri menggunakan ibadah dan refleksi keagamaan untuk menghadapi tekanan atau kegagalan.</t>
        </is>
      </c>
      <c r="E4" s="3" t="inlineStr">
        <is>
          <t>Saya mampu menjadikan pengalaman sulit sebagai momentum untuk memperkuat hubungan dengan Allah dan memperbaiki diri.</t>
        </is>
      </c>
      <c r="F4" s="3" t="inlineStr">
        <is>
          <t>Saya mampu mempertahankan keteguhan spiritual dalam situasi sulit dan menjadikannya sumber ketenangan, makna, serta kekuatan untuk melangkah kembali.</t>
        </is>
      </c>
    </row>
    <row r="5">
      <c r="A5" s="8" t="inlineStr">
        <is>
          <t>VR-S4</t>
        </is>
      </c>
      <c r="B5" s="3" t="inlineStr">
        <is>
          <t>Konsistensi nilai dalam lingkungan yang berbeda
Saya berusaha menjaga komitmen terhadap nilai dan praktik keislaman meskipun berada dalam lingkungan yang kurang mendukung.</t>
        </is>
      </c>
      <c r="C5" s="3" t="inlineStr">
        <is>
          <t>Saya mampu menjaga nilai ketika berada dalam lingkungan yang mendukung.</t>
        </is>
      </c>
      <c r="D5" s="3" t="inlineStr">
        <is>
          <t>Saya mulai mampu mempertahankan nilai yang saya yakini ketika berada dalam lingkungan yang berbeda.</t>
        </is>
      </c>
      <c r="E5" s="3" t="inlineStr">
        <is>
          <t>Saya tetap menjalankan nilai yang saya yakini meskipun menghadapi tekanan sosial atau lingkungan yang kurang mendukung.</t>
        </is>
      </c>
      <c r="F5" s="3" t="inlineStr">
        <is>
          <t>Saya mampu mempertahankan nilai secara konsisten tanpa kehilangan kemampuan untuk menghargai dan berinteraksi secara baik dengan lingkungan yang berbeda.</t>
        </is>
      </c>
    </row>
    <row r="6">
      <c r="A6" s="8" t="inlineStr">
        <is>
          <t>VR-I1</t>
        </is>
      </c>
      <c r="B6" s="3" t="inlineStr">
        <is>
          <t>Kejujuran
Saya menyampaikan informasi, hasil kerja, dan pencapaian saya secara jujur tanpa melebih-lebihkan.</t>
        </is>
      </c>
      <c r="C6" s="3" t="inlineStr">
        <is>
          <t>Saya berusaha menyampaikan informasi secara jujur ketika terdapat aturan atau pengawasan.</t>
        </is>
      </c>
      <c r="D6" s="3" t="inlineStr">
        <is>
          <t>Saya secara mandiri menyampaikan informasi dan hasil kerja sesuai kondisi sebenarnya.</t>
        </is>
      </c>
      <c r="E6" s="3" t="inlineStr">
        <is>
          <t>Saya tetap jujur ketika menghadapi situasi yang dapat membuat saya terlihat kurang berhasil atau dirugikan.</t>
        </is>
      </c>
      <c r="F6" s="3" t="inlineStr">
        <is>
          <t>Saya menjadi pribadi yang dipercaya karena konsisten menjaga kejujuran dan mendorong orang lain untuk melakukan hal yang sama.</t>
        </is>
      </c>
    </row>
    <row r="7">
      <c r="A7" s="8" t="inlineStr">
        <is>
          <t>VR-I2</t>
        </is>
      </c>
      <c r="B7" s="3" t="inlineStr">
        <is>
          <t>Integritas dalam situasi sulit
Saya tetap memilih tindakan yang sesuai dengan prinsip dan etika meskipun pilihan tersebut tidak menguntungkan bagi saya.</t>
        </is>
      </c>
      <c r="C7" s="3" t="inlineStr">
        <is>
          <t>Saya mengikuti pilihan yang benar ketika aturan dan arahan sudah jelas.</t>
        </is>
      </c>
      <c r="D7" s="3" t="inlineStr">
        <is>
          <t>Saya mampu memilih tindakan yang sesuai prinsip meskipun tidak selalu mudah atau menguntungkan.</t>
        </is>
      </c>
      <c r="E7" s="3" t="inlineStr">
        <is>
          <t>Saya mempertahankan prinsip ketika menghadapi tekanan, konflik kepentingan, atau risiko pribadi.</t>
        </is>
      </c>
      <c r="F7" s="3" t="inlineStr">
        <is>
          <t>Saya mampu menjadi rujukan bagi orang lain dalam mengambil keputusan etis ketika menghadapi situasi yang sulit atau ambigu.</t>
        </is>
      </c>
    </row>
    <row r="8">
      <c r="A8" s="8" t="inlineStr">
        <is>
          <t>VR-I3</t>
        </is>
      </c>
      <c r="B8" s="3" t="inlineStr">
        <is>
          <t>Keselarasan kata dan tindakan
Saya menjaga kesesuaian antara apa yang saya katakan, janjikan, dan lakukan.</t>
        </is>
      </c>
      <c r="C8" s="3" t="inlineStr">
        <is>
          <t>Saya berusaha memenuhi janji ketika mendapatkan pengingat atau pengawasan.</t>
        </is>
      </c>
      <c r="D8" s="3" t="inlineStr">
        <is>
          <t>Saya secara mandiri berusaha menyelesaikan apa yang telah saya katakan atau janjikan.</t>
        </is>
      </c>
      <c r="E8" s="3" t="inlineStr">
        <is>
          <t>Saya menjaga konsistensi antara ucapan dan tindakan meskipun muncul hambatan atau perubahan situasi.</t>
        </is>
      </c>
      <c r="F8" s="3" t="inlineStr">
        <is>
          <t>Saya dikenal dapat dipercaya karena perkataan, keputusan, dan tindakan saya konsisten serta dapat menjadi teladan bagi orang lain.</t>
        </is>
      </c>
    </row>
    <row r="9">
      <c r="A9" s="8" t="inlineStr">
        <is>
          <t>VR-I4</t>
        </is>
      </c>
      <c r="B9" s="3" t="inlineStr">
        <is>
          <t>Mengakui kesalahan
Saya berani mengakui kesalahan dan melakukan perbaikan ketika tindakan saya tidak sesuai dengan nilai yang saya yakini.</t>
        </is>
      </c>
      <c r="C9" s="3" t="inlineStr">
        <is>
          <t>Saya mengakui kesalahan setelah mendapat masukan atau diarahkan oleh orang lain.</t>
        </is>
      </c>
      <c r="D9" s="3" t="inlineStr">
        <is>
          <t>Saya mampu mengakui kesalahan dan memperbaikinya secara mandiri.</t>
        </is>
      </c>
      <c r="E9" s="3" t="inlineStr">
        <is>
          <t>Saya secara terbuka mengakui kesalahan, mengambil tanggung jawab, dan melakukan tindakan korektif.</t>
        </is>
      </c>
      <c r="F9" s="3" t="inlineStr">
        <is>
          <t>Saya menjadikan kesalahan sebagai pembelajaran dan membantu menciptakan lingkungan yang aman untuk mengakui serta memperbaiki kesalahan.</t>
        </is>
      </c>
    </row>
    <row r="10">
      <c r="A10" s="8" t="inlineStr">
        <is>
          <t>VR-A1</t>
        </is>
      </c>
      <c r="B10" s="3" t="inlineStr">
        <is>
          <t>Menyelesaikan amanah
Saya menyelesaikan tanggung jawab yang telah saya terima sesuai kesepakatan.</t>
        </is>
      </c>
      <c r="C10" s="3" t="inlineStr">
        <is>
          <t>Saya menyelesaikan tugas ketika diberikan arahan dan pengawasan.</t>
        </is>
      </c>
      <c r="D10" s="3" t="inlineStr">
        <is>
          <t>Saya mampu menyelesaikan tanggung jawab secara mandiri sesuai kesepakatan.</t>
        </is>
      </c>
      <c r="E10" s="3" t="inlineStr">
        <is>
          <t>Saya tetap menyelesaikan tanggung jawab meskipun menghadapi hambatan dan mampu mencari solusi ketika rencana terganggu.</t>
        </is>
      </c>
      <c r="F10" s="3" t="inlineStr">
        <is>
          <t>Saya menjadi orang yang dapat dipercaya untuk menjalankan tanggung jawab penting dan membantu memastikan tanggung jawab tim juga terlaksana.</t>
        </is>
      </c>
    </row>
    <row r="11">
      <c r="A11" s="8" t="inlineStr">
        <is>
          <t>VR-A2</t>
        </is>
      </c>
      <c r="B11" s="3" t="inlineStr">
        <is>
          <t>Accountability
Saya tetap bertanggung jawab terhadap hasil pekerjaan saya ketika menghadapi kendala atau kegagalan.</t>
        </is>
      </c>
      <c r="C11" s="3" t="inlineStr">
        <is>
          <t>Saya membutuhkan bantuan untuk menghadapi konsekuensi ketika pekerjaan mengalami kegagalan.</t>
        </is>
      </c>
      <c r="D11" s="3" t="inlineStr">
        <is>
          <t>Saya mampu mengakui dan bertanggung jawab atas hasil pekerjaan saya.</t>
        </is>
      </c>
      <c r="E11" s="3" t="inlineStr">
        <is>
          <t>Saya mengambil tanggung jawab, mencari penyebab, dan melakukan perbaikan ketika menghadapi kegagalan.</t>
        </is>
      </c>
      <c r="F11" s="3" t="inlineStr">
        <is>
          <t>Saya mampu mengubah kegagalan menjadi pembelajaran dan membantu tim membangun cara kerja yang lebih baik agar masalah serupa tidak berulang.</t>
        </is>
      </c>
    </row>
    <row r="12">
      <c r="A12" s="8" t="inlineStr">
        <is>
          <t>VR-A3</t>
        </is>
      </c>
      <c r="B12" s="3" t="inlineStr">
        <is>
          <t>Mengomunikasikan hambatan
Saya berinisiatif mengomunikasikan masalah ketika mengetahui bahwa saya tidak mampu memenuhi amanah sesuai rencana.</t>
        </is>
      </c>
      <c r="C12" s="3" t="inlineStr">
        <is>
          <t>Saya menyampaikan masalah ketika sudah ditanya atau diminta menjelaskan.</t>
        </is>
      </c>
      <c r="D12" s="3" t="inlineStr">
        <is>
          <t>Saya mulai berinisiatif menyampaikan hambatan sebelum masalah menjadi lebih besar.</t>
        </is>
      </c>
      <c r="E12" s="3" t="inlineStr">
        <is>
          <t>Saya mengomunikasikan masalah secara terbuka sekaligus menawarkan alternatif solusi.</t>
        </is>
      </c>
      <c r="F12" s="3" t="inlineStr">
        <is>
          <t>Saya mampu membangun komunikasi yang memungkinkan masalah diketahui lebih awal dan membantu tim mengantisipasi risiko.</t>
        </is>
      </c>
    </row>
    <row r="13">
      <c r="A13" s="8" t="inlineStr">
        <is>
          <t>VR-A4</t>
        </is>
      </c>
      <c r="B13" s="3" t="inlineStr">
        <is>
          <t>Menjaga kepercayaan
Saya menjaga kepercayaan yang diberikan kepada saya meskipun tidak ada pengawasan langsung.</t>
        </is>
      </c>
      <c r="C13" s="3" t="inlineStr">
        <is>
          <t>Saya menjalankan tanggung jawab dengan baik ketika terdapat pengawasan.</t>
        </is>
      </c>
      <c r="D13" s="3" t="inlineStr">
        <is>
          <t>Saya tetap menjalankan tanggung jawab meskipun tidak diawasi secara langsung.</t>
        </is>
      </c>
      <c r="E13" s="3" t="inlineStr">
        <is>
          <t>Saya mampu menjaga kepercayaan dalam situasi yang kompleks atau penuh tekanan.</t>
        </is>
      </c>
      <c r="F13" s="3" t="inlineStr">
        <is>
          <t>Saya menjadi pribadi yang konsisten dipercaya dan mampu menumbuhkan budaya saling percaya dalam tim atau lingkungan saya.</t>
        </is>
      </c>
    </row>
    <row r="14">
      <c r="A14" s="8" t="inlineStr">
        <is>
          <t>VR-C1</t>
        </is>
      </c>
      <c r="B14" s="3" t="inlineStr">
        <is>
          <t>Menghargai perbedaan
Saya menghargai orang yang memiliki latar belakang, budaya, agama, atau pandangan yang berbeda dari saya.</t>
        </is>
      </c>
      <c r="C14" s="3" t="inlineStr">
        <is>
          <t>Saya mampu menghargai perbedaan ketika situasi interaksi berjalan dengan baik.</t>
        </is>
      </c>
      <c r="D14" s="3" t="inlineStr">
        <is>
          <t>Saya secara sadar menjaga sikap dan komunikasi ketika berinteraksi dengan orang yang berbeda dari saya.</t>
        </is>
      </c>
      <c r="E14" s="3" t="inlineStr">
        <is>
          <t>Saya mampu bekerja sama dan membangun hubungan positif meskipun terdapat perbedaan nilai atau pandangan.</t>
        </is>
      </c>
      <c r="F14" s="3" t="inlineStr">
        <is>
          <t>Saya mampu menjadi penghubung yang membangun ruang interaksi saling menghargai di tengah keberagaman.</t>
        </is>
      </c>
    </row>
    <row r="15">
      <c r="A15" s="8" t="inlineStr">
        <is>
          <t>VR-C2</t>
        </is>
      </c>
      <c r="B15" s="3" t="inlineStr">
        <is>
          <t>Kesadaran terhadap persoalan sosial
Saya berusaha memahami persoalan sosial yang terjadi di lingkungan, daerah, maupun bangsa saya.</t>
        </is>
      </c>
      <c r="C15" s="3" t="inlineStr">
        <is>
          <t>Saya mengetahui isu sosial ketika mendapatkan informasi atau mengikuti pemberitaan.</t>
        </is>
      </c>
      <c r="D15" s="3" t="inlineStr">
        <is>
          <t>Saya secara mandiri mencari informasi untuk memahami persoalan sosial di sekitar saya.</t>
        </is>
      </c>
      <c r="E15" s="3" t="inlineStr">
        <is>
          <t>Saya mampu menghubungkan persoalan sosial dengan bidang ilmu, pengalaman, atau kapasitas yang saya miliki.</t>
        </is>
      </c>
      <c r="F15" s="3" t="inlineStr">
        <is>
          <t>Saya menjadikan pemahaman terhadap persoalan sosial sebagai dasar untuk menentukan kontribusi dan mengajak orang lain terlibat.</t>
        </is>
      </c>
    </row>
    <row r="16">
      <c r="A16" s="8" t="inlineStr">
        <is>
          <t>VR-C3</t>
        </is>
      </c>
      <c r="B16" s="3" t="inlineStr">
        <is>
          <t>Kepentingan masyarakat
Saya mempertimbangkan kepentingan masyarakat ketika mengambil keputusan atau menjalankan peran saya.</t>
        </is>
      </c>
      <c r="C16" s="3" t="inlineStr">
        <is>
          <t>Saya mempertimbangkan dampak keputusan terhadap orang lain ketika diarahkan.</t>
        </is>
      </c>
      <c r="D16" s="3" t="inlineStr">
        <is>
          <t>Saya mulai mempertimbangkan kepentingan orang lain secara mandiri dalam keputusan saya.</t>
        </is>
      </c>
      <c r="E16" s="3" t="inlineStr">
        <is>
          <t>Saya secara aktif mempertimbangkan dampak keputusan terhadap kelompok atau masyarakat yang lebih luas.</t>
        </is>
      </c>
      <c r="F16" s="3" t="inlineStr">
        <is>
          <t>Saya mampu menyeimbangkan kepentingan berbagai pihak dan mengambil keputusan yang berorientasi pada kemanfaatan bersama.</t>
        </is>
      </c>
    </row>
    <row r="17">
      <c r="A17" s="8" t="inlineStr">
        <is>
          <t>VR-C4</t>
        </is>
      </c>
      <c r="B17" s="3" t="inlineStr">
        <is>
          <t>Orientasi kontribusi kebangsaan
Saya memiliki kemauan untuk menggunakan kapasitas saya bagi kemajuan daerah dan masyarakat Indonesia.</t>
        </is>
      </c>
      <c r="C17" s="3" t="inlineStr">
        <is>
          <t>Saya mulai memiliki keinginan untuk memberikan manfaat kepada lingkungan saya.</t>
        </is>
      </c>
      <c r="D17" s="3" t="inlineStr">
        <is>
          <t>Saya mulai menggunakan pengetahuan atau keterampilan saya untuk memberikan kontribusi nyata.</t>
        </is>
      </c>
      <c r="E17" s="3" t="inlineStr">
        <is>
          <t>Saya secara sadar mengarahkan kapasitas dan pengalaman saya untuk menjawab kebutuhan masyarakat.</t>
        </is>
      </c>
      <c r="F17" s="3" t="inlineStr">
        <is>
          <t>Saya memiliki arah kontribusi jangka panjang dan mampu mengembangkan kapasitas orang lain untuk bersama-sama memberi manfaat bagi masyarakat Indonesia.</t>
        </is>
      </c>
    </row>
    <row r="18">
      <c r="A18" s="8" t="inlineStr">
        <is>
          <t>SR-A1</t>
        </is>
      </c>
      <c r="B18" s="3" t="inlineStr">
        <is>
          <t>Mengenali kekuatan diri
Saya memahami kekuatan utama yang dapat saya gunakan untuk mencapai tujuan hidup saya.</t>
        </is>
      </c>
      <c r="C18" s="3" t="inlineStr">
        <is>
          <t>Saya mulai mengenali kekuatan diri melalui pengalaman atau masukan dari orang lain.</t>
        </is>
      </c>
      <c r="D18" s="3" t="inlineStr">
        <is>
          <t>Saya mampu mengidentifikasi kekuatan utama saya dan menggunakannya dalam aktivitas yang saya jalankan.</t>
        </is>
      </c>
      <c r="E18" s="3" t="inlineStr">
        <is>
          <t>Saya mampu mengoptimalkan kekuatan diri untuk menghadapi tantangan dan menghasilkan kinerja yang lebih baik.</t>
        </is>
      </c>
      <c r="F18" s="3" t="inlineStr">
        <is>
          <t>Saya mampu mengembangkan kekuatan diri secara strategis dan membantu orang lain mengenali serta mengoptimalkan kekuatan mereka.</t>
        </is>
      </c>
    </row>
    <row r="19">
      <c r="A19" s="8" t="inlineStr">
        <is>
          <t>SR-A2</t>
        </is>
      </c>
      <c r="B19" s="3" t="inlineStr">
        <is>
          <t>Mengenali keterbatasan diri
Saya mengenali kelemahan atau keterbatasan diri yang dapat menghambat perkembangan saya.</t>
        </is>
      </c>
      <c r="C19" s="3" t="inlineStr">
        <is>
          <t>Saya mengenali keterbatasan diri setelah mendapat masukan dari orang lain.</t>
        </is>
      </c>
      <c r="D19" s="3" t="inlineStr">
        <is>
          <t>Saya mampu mengidentifikasi keterbatasan diri dan mulai melakukan perbaikan.</t>
        </is>
      </c>
      <c r="E19" s="3" t="inlineStr">
        <is>
          <t>Saya secara aktif mengelola keterbatasan diri agar tidak menghambat pencapaian tujuan.</t>
        </is>
      </c>
      <c r="F19" s="3" t="inlineStr">
        <is>
          <t>Saya mampu mengubah keterbatasan menjadi dasar strategi pengembangan diri dan mengetahui kapan perlu melibatkan orang lain.</t>
        </is>
      </c>
    </row>
    <row r="20">
      <c r="A20" s="8" t="inlineStr">
        <is>
          <t>SR-A3</t>
        </is>
      </c>
      <c r="B20" s="3" t="inlineStr">
        <is>
          <t>Refleksi diri
Saya secara berkala melakukan refleksi terhadap keputusan, perilaku, dan perkembangan diri saya.</t>
        </is>
      </c>
      <c r="C20" s="3" t="inlineStr">
        <is>
          <t>Saya melakukan refleksi ketika diminta atau setelah mengalami masalah.</t>
        </is>
      </c>
      <c r="D20" s="3" t="inlineStr">
        <is>
          <t>Saya mulai melakukan refleksi secara mandiri terhadap pengalaman dan keputusan saya.</t>
        </is>
      </c>
      <c r="E20" s="3" t="inlineStr">
        <is>
          <t>Saya menggunakan refleksi secara rutin untuk mengubah perilaku dan memperbaiki keputusan.</t>
        </is>
      </c>
      <c r="F20" s="3" t="inlineStr">
        <is>
          <t>Saya menjadikan refleksi sebagai bagian dari sistem pengembangan diri dan mampu membantu orang lain melakukan refleksi.</t>
        </is>
      </c>
    </row>
    <row r="21">
      <c r="A21" s="8" t="inlineStr">
        <is>
          <t>SR-A4</t>
        </is>
      </c>
      <c r="B21" s="3" t="inlineStr">
        <is>
          <t>Menerima feedback
Saya terbuka menerima kritik dan menggunakannya untuk memperbaiki diri.</t>
        </is>
      </c>
      <c r="C21" s="3" t="inlineStr">
        <is>
          <t>Saya menerima masukan tetapi masih membutuhkan waktu atau bantuan untuk menindaklanjutinya.</t>
        </is>
      </c>
      <c r="D21" s="3" t="inlineStr">
        <is>
          <t>Saya mampu menerima feedback dan melakukan perbaikan secara mandiri.</t>
        </is>
      </c>
      <c r="E21" s="3" t="inlineStr">
        <is>
          <t>Saya secara aktif mencari feedback dan menggunakannya untuk meningkatkan perilaku atau kinerja.</t>
        </is>
      </c>
      <c r="F21" s="3" t="inlineStr">
        <is>
          <t>Saya menjadikan feedback sebagai bagian dari budaya pengembangan diri dan mampu menerima masukan bahkan ketika tidak nyaman.</t>
        </is>
      </c>
    </row>
    <row r="22">
      <c r="A22" s="8" t="inlineStr">
        <is>
          <t>SR-G1</t>
        </is>
      </c>
      <c r="B22" s="3" t="inlineStr">
        <is>
          <t>Inisiatif belajar
Saya mencari kesempatan belajar yang relevan dengan kebutuhan dan tujuan saya.</t>
        </is>
      </c>
      <c r="C22" s="3" t="inlineStr">
        <is>
          <t>Saya mengikuti kesempatan belajar ketika ditawarkan atau diarahkan.</t>
        </is>
      </c>
      <c r="D22" s="3" t="inlineStr">
        <is>
          <t>Saya mulai secara mandiri mencari pelatihan, bacaan, pengalaman, atau sumber belajar yang relevan.</t>
        </is>
      </c>
      <c r="E22" s="3" t="inlineStr">
        <is>
          <t>Saya secara aktif memilih dan mengombinasikan berbagai sumber belajar untuk meningkatkan kompetensi.</t>
        </is>
      </c>
      <c r="F22" s="3" t="inlineStr">
        <is>
          <t>Saya mampu membangun pola belajar berkelanjutan dan membantu orang lain menemukan sumber belajar yang relevan.</t>
        </is>
      </c>
    </row>
    <row r="23">
      <c r="A23" s="8" t="inlineStr">
        <is>
          <t>SR-G2</t>
        </is>
      </c>
      <c r="B23" s="3" t="inlineStr">
        <is>
          <t>Belajar dari kegagalan
Saya tetap berusaha belajar setelah mengalami kegagalan atau hasil yang tidak sesuai harapan.</t>
        </is>
      </c>
      <c r="C23" s="3" t="inlineStr">
        <is>
          <t>Saya membutuhkan dukungan untuk kembali belajar setelah mengalami kegagalan.</t>
        </is>
      </c>
      <c r="D23" s="3" t="inlineStr">
        <is>
          <t>Saya mampu kembali belajar setelah mengalami kegagalan dan mencari cara memperbaiki hasil.</t>
        </is>
      </c>
      <c r="E23" s="3" t="inlineStr">
        <is>
          <t>Saya secara sadar menganalisis kegagalan dan menggunakannya untuk mengubah strategi.</t>
        </is>
      </c>
      <c r="F23" s="3" t="inlineStr">
        <is>
          <t>Saya mampu mengubah kegagalan menjadi sumber pembelajaran bagi diri sendiri dan orang lain.</t>
        </is>
      </c>
    </row>
    <row r="24">
      <c r="A24" s="8" t="inlineStr">
        <is>
          <t>SR-G3</t>
        </is>
      </c>
      <c r="B24" s="3" t="inlineStr">
        <is>
          <t>Eksperimentasi
Saya mencoba pendekatan baru ketika cara yang saya gunakan sebelumnya tidak memberikan hasil yang baik.</t>
        </is>
      </c>
      <c r="C24" s="3" t="inlineStr">
        <is>
          <t>Saya mencoba cara baru ketika diarahkan oleh orang lain.</t>
        </is>
      </c>
      <c r="D24" s="3" t="inlineStr">
        <is>
          <t>Saya secara mandiri mencoba alternatif ketika cara sebelumnya tidak berhasil.</t>
        </is>
      </c>
      <c r="E24" s="3" t="inlineStr">
        <is>
          <t>Saya berani bereksperimen, mengevaluasi hasil, dan menyesuaikan pendekatan berdasarkan pembelajaran.</t>
        </is>
      </c>
      <c r="F24" s="3" t="inlineStr">
        <is>
          <t>Saya mampu membangun budaya eksperimen dan pembelajaran yang membantu tim menghadapi perubahan.</t>
        </is>
      </c>
    </row>
    <row r="25">
      <c r="A25" s="8" t="inlineStr">
        <is>
          <t>SR-G4</t>
        </is>
      </c>
      <c r="B25" s="3" t="inlineStr">
        <is>
          <t>Mengubah pengalaman menjadi pembelajaran
Saya mengubah pengalaman, termasuk kesalahan dan kegagalan, menjadi pembelajaran untuk menghadapi tantangan berikutnya.</t>
        </is>
      </c>
      <c r="C25" s="3" t="inlineStr">
        <is>
          <t>Saya memahami pembelajaran setelah mendapat bantuan untuk merefleksikan pengalaman.</t>
        </is>
      </c>
      <c r="D25" s="3" t="inlineStr">
        <is>
          <t>Saya mampu mengambil pelajaran dari pengalaman dan menggunakannya dalam situasi berikutnya.</t>
        </is>
      </c>
      <c r="E25" s="3" t="inlineStr">
        <is>
          <t>Saya secara sistematis menggunakan pengalaman untuk memperbaiki strategi dan perilaku.</t>
        </is>
      </c>
      <c r="F25" s="3" t="inlineStr">
        <is>
          <t>Saya mampu mengubah pengalaman menjadi pengetahuan yang dapat dibagikan dan dimanfaatkan oleh orang lain.</t>
        </is>
      </c>
    </row>
    <row r="26">
      <c r="A26" s="8" t="inlineStr">
        <is>
          <t>SR-M1</t>
        </is>
      </c>
      <c r="B26" s="3" t="inlineStr">
        <is>
          <t>Manajemen prioritas
Saya mampu mengatur waktu dan prioritas antara akademik, pekerjaan, organisasi, keluarga, dan kehidupan pribadi.</t>
        </is>
      </c>
      <c r="C26" s="3" t="inlineStr">
        <is>
          <t>Saya mampu mengatur waktu ketika tuntutan belum terlalu banyak.</t>
        </is>
      </c>
      <c r="D26" s="3" t="inlineStr">
        <is>
          <t>Saya mampu menentukan prioritas dan mengatur waktu secara mandiri ketika memiliki beberapa tanggung jawab.</t>
        </is>
      </c>
      <c r="E26" s="3" t="inlineStr">
        <is>
          <t>Saya mampu menjaga keseimbangan dan menentukan prioritas ketika menghadapi banyak tuntutan sekaligus.</t>
        </is>
      </c>
      <c r="F26" s="3" t="inlineStr">
        <is>
          <t>Saya mampu mengelola prioritas secara strategis, tetap efektif dalam tekanan, dan membantu tim mengatur beban kerja secara sehat.</t>
        </is>
      </c>
    </row>
    <row r="27">
      <c r="A27" s="8" t="inlineStr">
        <is>
          <t>SR-M2</t>
        </is>
      </c>
      <c r="B27" s="3" t="inlineStr">
        <is>
          <t>Produktivitas dalam tekanan
Saya mampu menjaga produktivitas ketika menghadapi tekanan atau banyak tanggung jawab.</t>
        </is>
      </c>
      <c r="C27" s="3" t="inlineStr">
        <is>
          <t>Produktivitas saya masih mudah terganggu ketika menghadapi tekanan.</t>
        </is>
      </c>
      <c r="D27" s="3" t="inlineStr">
        <is>
          <t>Saya mampu menjaga pekerjaan tetap berjalan meskipun tekanan meningkat.</t>
        </is>
      </c>
      <c r="E27" s="3" t="inlineStr">
        <is>
          <t>Saya mampu mempertahankan kualitas dan mengambil keputusan dengan baik dalam tekanan.</t>
        </is>
      </c>
      <c r="F27" s="3" t="inlineStr">
        <is>
          <t>Saya mampu tetap efektif dalam situasi tekanan tinggi sekaligus membantu orang lain menjaga fokus dan ketenangan.</t>
        </is>
      </c>
    </row>
    <row r="28">
      <c r="A28" s="8" t="inlineStr">
        <is>
          <t>SR-M3</t>
        </is>
      </c>
      <c r="B28" s="3" t="inlineStr">
        <is>
          <t>Pengelolaan emosi
Saya mampu mengelola emosi secara konstruktif ketika menghadapi konflik, kegagalan, atau tekanan.</t>
        </is>
      </c>
      <c r="C28" s="3" t="inlineStr">
        <is>
          <t>Saya masih membutuhkan waktu atau bantuan untuk mengelola emosi ketika menghadapi tekanan.</t>
        </is>
      </c>
      <c r="D28" s="3" t="inlineStr">
        <is>
          <t>Saya mampu mengenali dan mengendalikan respons emosional saya dalam situasi umum.</t>
        </is>
      </c>
      <c r="E28" s="3" t="inlineStr">
        <is>
          <t>Saya mampu tetap tenang dan memilih respons yang konstruktif dalam konflik atau tekanan.</t>
        </is>
      </c>
      <c r="F28" s="3" t="inlineStr">
        <is>
          <t>Saya mampu menjaga ketenangan dalam situasi sulit dan membantu menciptakan suasana yang stabil bagi orang lain.</t>
        </is>
      </c>
    </row>
    <row r="29">
      <c r="A29" s="8" t="inlineStr">
        <is>
          <t>SR-M4</t>
        </is>
      </c>
      <c r="B29" s="3" t="inlineStr">
        <is>
          <t>Keseimbangan diri
Saya menjaga keseimbangan antara pencapaian, kesehatan diri, relasi, dan kebutuhan pemulihan.</t>
        </is>
      </c>
      <c r="C29" s="3" t="inlineStr">
        <is>
          <t>Saya menjaga keseimbangan ketika beban aktivitas masih relatif ringan.</t>
        </is>
      </c>
      <c r="D29" s="3" t="inlineStr">
        <is>
          <t>Saya mulai mampu mengatur waktu untuk pekerjaan, relasi, dan pemulihan secara mandiri.</t>
        </is>
      </c>
      <c r="E29" s="3" t="inlineStr">
        <is>
          <t>Saya tetap menjaga keseimbangan diri meskipun memiliki tanggung jawab yang meningkat.</t>
        </is>
      </c>
      <c r="F29" s="3" t="inlineStr">
        <is>
          <t>Saya mampu membangun pola hidup yang memungkinkan saya tetap berkelanjutan dalam berkarya dan menjadi contoh pengelolaan diri bagi orang lain.</t>
        </is>
      </c>
    </row>
    <row r="30">
      <c r="A30" s="8" t="inlineStr">
        <is>
          <t>SR-F1</t>
        </is>
      </c>
      <c r="B30" s="3" t="inlineStr">
        <is>
          <t>Arah hidup
Saya memiliki gambaran yang jelas mengenai arah hidup dan peran yang ingin saya bangun setelah menyelesaikan pendidikan.</t>
        </is>
      </c>
      <c r="C30" s="3" t="inlineStr">
        <is>
          <t>Saya memiliki beberapa aspirasi tetapi belum memiliki arah yang jelas.</t>
        </is>
      </c>
      <c r="D30" s="3" t="inlineStr">
        <is>
          <t>Saya mulai memiliki tujuan dan arah hidup yang cukup jelas.</t>
        </is>
      </c>
      <c r="E30" s="3" t="inlineStr">
        <is>
          <t>Saya memiliki arah hidup yang jelas dan mampu menghubungkannya dengan keputusan serta aktivitas yang saya jalankan.</t>
        </is>
      </c>
      <c r="F30" s="3" t="inlineStr">
        <is>
          <t>Saya memiliki arah jangka panjang yang kuat tetapi tetap mampu menyesuaikan jalur ketika kondisi berubah.</t>
        </is>
      </c>
    </row>
    <row r="31">
      <c r="A31" s="8" t="inlineStr">
        <is>
          <t>SR-F2</t>
        </is>
      </c>
      <c r="B31" s="3" t="inlineStr">
        <is>
          <t>Persiapan masa depan
Saya memiliki langkah konkret untuk mengembangkan kompetensi yang dibutuhkan bagi tujuan masa depan saya.</t>
        </is>
      </c>
      <c r="C31" s="3" t="inlineStr">
        <is>
          <t>Saya mengetahui kompetensi yang perlu dikembangkan tetapi belum memiliki langkah yang jelas.</t>
        </is>
      </c>
      <c r="D31" s="3" t="inlineStr">
        <is>
          <t>Saya mulai menjalankan langkah konkret untuk mengembangkan kompetensi yang dibutuhkan.</t>
        </is>
      </c>
      <c r="E31" s="3" t="inlineStr">
        <is>
          <t>Saya secara aktif mengembangkan kompetensi melalui pengalaman, pembelajaran, dan praktik nyata.</t>
        </is>
      </c>
      <c r="F31" s="3" t="inlineStr">
        <is>
          <t>Saya memiliki strategi pengembangan kompetensi jangka panjang dan mampu menyesuaikannya dengan perubahan kebutuhan masa depan.</t>
        </is>
      </c>
    </row>
    <row r="32">
      <c r="A32" s="8" t="inlineStr">
        <is>
          <t>SR-F3</t>
        </is>
      </c>
      <c r="B32" s="3" t="inlineStr">
        <is>
          <t>Membangun modal masa depan
Saya secara aktif membangun pengalaman, karya, dan jejaring yang mendukung arah karier atau kontribusi saya.</t>
        </is>
      </c>
      <c r="C32" s="3" t="inlineStr">
        <is>
          <t>Saya mencari pengalaman atau mengikuti kegiatan ketika terdapat kesempatan.</t>
        </is>
      </c>
      <c r="D32" s="3" t="inlineStr">
        <is>
          <t>Saya mulai secara mandiri mencari pengalaman, menghasilkan karya, atau membangun jejaring.</t>
        </is>
      </c>
      <c r="E32" s="3" t="inlineStr">
        <is>
          <t>Saya secara strategis memilih pengalaman dan jejaring yang mendukung tujuan karier atau kontribusi saya.</t>
        </is>
      </c>
      <c r="F32" s="3" t="inlineStr">
        <is>
          <t>Saya mampu membangun portofolio pengalaman, karya, dan jejaring yang kuat serta menggunakannya untuk menciptakan peluang dan dampak.</t>
        </is>
      </c>
    </row>
    <row r="33">
      <c r="A33" s="8" t="inlineStr">
        <is>
          <t>SR-F4</t>
        </is>
      </c>
      <c r="B33" s="3" t="inlineStr">
        <is>
          <t>Plan B
Saya memiliki alternatif atau rencana cadangan ketika rencana utama pendidikan atau karier saya menghadapi hambatan.</t>
        </is>
      </c>
      <c r="C33" s="3" t="inlineStr">
        <is>
          <t>Saya cenderung menunggu arahan ketika rencana utama mengalami hambatan.</t>
        </is>
      </c>
      <c r="D33" s="3" t="inlineStr">
        <is>
          <t>Saya mulai memikirkan alternatif ketika rencana utama menghadapi masalah.</t>
        </is>
      </c>
      <c r="E33" s="3" t="inlineStr">
        <is>
          <t>Saya mampu menyiapkan dan menjalankan alternatif tanpa kehilangan tujuan utama.</t>
        </is>
      </c>
      <c r="F33" s="3" t="inlineStr">
        <is>
          <t>Saya mampu beradaptasi secara cepat terhadap perubahan, memiliki beberapa alternatif strategis, dan tetap menjaga arah jangka panjang.</t>
        </is>
      </c>
    </row>
    <row r="34">
      <c r="A34" s="8" t="inlineStr">
        <is>
          <t>SoR-E1</t>
        </is>
      </c>
      <c r="B34" s="3" t="inlineStr">
        <is>
          <t>Memahami perspektif orang lain
Saya berusaha memahami kebutuhan dan perspektif orang lain sebelum memberikan respons atau mengambil keputusan.</t>
        </is>
      </c>
      <c r="C34" s="3" t="inlineStr">
        <is>
          <t>Saya mulai mendengarkan perspektif orang lain ketika diarahkan.</t>
        </is>
      </c>
      <c r="D34" s="3" t="inlineStr">
        <is>
          <t>Saya secara sadar mempertimbangkan perspektif orang lain sebelum merespons.</t>
        </is>
      </c>
      <c r="E34" s="3" t="inlineStr">
        <is>
          <t>Saya mampu memahami perspektif yang berbeda dan menggunakannya dalam mengambil keputusan.</t>
        </is>
      </c>
      <c r="F34" s="3" t="inlineStr">
        <is>
          <t>Saya mampu membantu pihak-pihak yang berbeda memahami perspektif satu sama lain dan menemukan titik temu.</t>
        </is>
      </c>
    </row>
    <row r="35">
      <c r="A35" s="8" t="inlineStr">
        <is>
          <t>SoR-E2</t>
        </is>
      </c>
      <c r="B35" s="3" t="inlineStr">
        <is>
          <t>Kepekaan sosial
Saya peka terhadap orang di sekitar yang sedang mengalami kesulitan.</t>
        </is>
      </c>
      <c r="C35" s="3" t="inlineStr">
        <is>
          <t>Saya merespons ketika mengetahui seseorang mengalami kesulitan.</t>
        </is>
      </c>
      <c r="D35" s="3" t="inlineStr">
        <is>
          <t>Saya mulai secara aktif memperhatikan kondisi orang di sekitar saya.</t>
        </is>
      </c>
      <c r="E35" s="3" t="inlineStr">
        <is>
          <t>Saya mampu mengenali kebutuhan orang lain bahkan ketika mereka tidak menyampaikannya secara langsung.</t>
        </is>
      </c>
      <c r="F35" s="3" t="inlineStr">
        <is>
          <t>Saya mampu menciptakan lingkungan yang membuat orang merasa diperhatikan dan mendapatkan dukungan yang tepat.</t>
        </is>
      </c>
    </row>
    <row r="36">
      <c r="A36" s="8" t="inlineStr">
        <is>
          <t>SoR-E3</t>
        </is>
      </c>
      <c r="B36" s="3" t="inlineStr">
        <is>
          <t>Memberikan bantuan
Saya memberikan bantuan yang sesuai dengan kebutuhan dan kemampuan saya.</t>
        </is>
      </c>
      <c r="C36" s="3" t="inlineStr">
        <is>
          <t>Saya membantu ketika diminta atau ketika masalahnya terlihat jelas.</t>
        </is>
      </c>
      <c r="D36" s="3" t="inlineStr">
        <is>
          <t>Saya secara mandiri menawarkan bantuan sesuai kemampuan saya.</t>
        </is>
      </c>
      <c r="E36" s="3" t="inlineStr">
        <is>
          <t>Saya mampu menyesuaikan bentuk bantuan dengan kebutuhan orang atau kelompok yang dibantu.</t>
        </is>
      </c>
      <c r="F36" s="3" t="inlineStr">
        <is>
          <t>Saya membantu dengan cara yang tidak hanya menyelesaikan masalah sesaat tetapi juga meningkatkan kemampuan orang lain untuk mandiri.</t>
        </is>
      </c>
    </row>
    <row r="37">
      <c r="A37" s="8" t="inlineStr">
        <is>
          <t>SoR-E4</t>
        </is>
      </c>
      <c r="B37" s="3" t="inlineStr">
        <is>
          <t>Menghargai perbedaan pandangan
Saya mampu tetap menghargai orang lain meskipun saya tidak setuju dengan pandangan atau pilihannya.</t>
        </is>
      </c>
      <c r="C37" s="3" t="inlineStr">
        <is>
          <t>Saya dapat menahan diri untuk tidak merespons secara negatif ketika berbeda pendapat.</t>
        </is>
      </c>
      <c r="D37" s="3" t="inlineStr">
        <is>
          <t>Saya mampu menyampaikan ketidaksetujuan dengan tetap menghargai orang lain.</t>
        </is>
      </c>
      <c r="E37" s="3" t="inlineStr">
        <is>
          <t>Saya mampu mengelola perbedaan pendapat secara konstruktif dan menjaga hubungan.</t>
        </is>
      </c>
      <c r="F37" s="3" t="inlineStr">
        <is>
          <t>Saya mampu menjadikan perbedaan sebagai sumber pembelajaran dan membangun ruang dialog yang sehat bagi kelompok.</t>
        </is>
      </c>
    </row>
    <row r="38">
      <c r="A38" s="8" t="inlineStr">
        <is>
          <t>SoR-C1</t>
        </is>
      </c>
      <c r="B38" s="3" t="inlineStr">
        <is>
          <t>Kolaborasi lintas perbedaan
Saya mampu bekerja sama dengan orang yang memiliki karakter, latar belakang, atau cara kerja berbeda.</t>
        </is>
      </c>
      <c r="C38" s="3" t="inlineStr">
        <is>
          <t>Saya mampu bekerja sama ketika peran dan aturan kerja sudah jelas.</t>
        </is>
      </c>
      <c r="D38" s="3" t="inlineStr">
        <is>
          <t>Saya mampu menyesuaikan cara kerja dengan anggota tim yang berbeda.</t>
        </is>
      </c>
      <c r="E38" s="3" t="inlineStr">
        <is>
          <t>Saya mampu mengoptimalkan perbedaan karakter dan kemampuan untuk mencapai tujuan bersama.</t>
        </is>
      </c>
      <c r="F38" s="3" t="inlineStr">
        <is>
          <t>Saya mampu membangun tim yang beragam dan menjadikan perbedaan sebagai kekuatan kolaborasi.</t>
        </is>
      </c>
    </row>
    <row r="39">
      <c r="A39" s="8" t="inlineStr">
        <is>
          <t>SoR-C2</t>
        </is>
      </c>
      <c r="B39" s="3" t="inlineStr">
        <is>
          <t>Komunikasi dan pembagian peran
Saya aktif membangun komunikasi dan pembagian peran yang jelas dalam tim.</t>
        </is>
      </c>
      <c r="C39" s="3" t="inlineStr">
        <is>
          <t>Saya menjalankan peran yang telah ditentukan dalam tim.</t>
        </is>
      </c>
      <c r="D39" s="3" t="inlineStr">
        <is>
          <t>Saya aktif berkomunikasi dan membantu memastikan pembagian tugas berjalan jelas.</t>
        </is>
      </c>
      <c r="E39" s="3" t="inlineStr">
        <is>
          <t>Saya mampu mengkoordinasikan komunikasi dan peran ketika tim menghadapi kompleksitas atau perubahan.</t>
        </is>
      </c>
      <c r="F39" s="3" t="inlineStr">
        <is>
          <t>Saya mampu membangun sistem komunikasi dan pembagian peran yang membuat tim tetap efektif meskipun terjadi perubahan anggota atau situasi.</t>
        </is>
      </c>
    </row>
    <row r="40">
      <c r="A40" s="8" t="inlineStr">
        <is>
          <t>SoR-C3</t>
        </is>
      </c>
      <c r="B40" s="3" t="inlineStr">
        <is>
          <t>Mengelola perbedaan pendapat
Saya mampu mengelola perbedaan pendapat agar tetap berorientasi pada tujuan bersama.</t>
        </is>
      </c>
      <c r="C40" s="3" t="inlineStr">
        <is>
          <t>Saya mengikuti keputusan kelompok ketika terjadi perbedaan pendapat.</t>
        </is>
      </c>
      <c r="D40" s="3" t="inlineStr">
        <is>
          <t>Saya mampu menyampaikan pendapat dan mencari kesepakatan bersama.</t>
        </is>
      </c>
      <c r="E40" s="3" t="inlineStr">
        <is>
          <t>Saya mampu membantu kelompok mengelola konflik dan kembali fokus pada tujuan bersama.</t>
        </is>
      </c>
      <c r="F40" s="3" t="inlineStr">
        <is>
          <t>Saya mampu mengubah konflik atau perbedaan menjadi proses pembelajaran dan memperkuat hubungan dalam tim.</t>
        </is>
      </c>
    </row>
    <row r="41">
      <c r="A41" s="8" t="inlineStr">
        <is>
          <t>SoR-C4</t>
        </is>
      </c>
      <c r="B41" s="3" t="inlineStr">
        <is>
          <t>Jejaring dan kolaborasi
Saya membangun jejaring dan kolaborasi lintas kelompok untuk memperluas manfaat dari kegiatan yang saya jalankan.</t>
        </is>
      </c>
      <c r="C41" s="3" t="inlineStr">
        <is>
          <t>Saya berinteraksi dengan orang di luar kelompok ketika terdapat kesempatan.</t>
        </is>
      </c>
      <c r="D41" s="3" t="inlineStr">
        <is>
          <t>Saya secara mandiri membangun jejaring baru untuk mendukung aktivitas saya.</t>
        </is>
      </c>
      <c r="E41" s="3" t="inlineStr">
        <is>
          <t>Saya mampu menghubungkan berbagai pihak untuk menghasilkan kolaborasi yang saling menguntungkan.</t>
        </is>
      </c>
      <c r="F41" s="3" t="inlineStr">
        <is>
          <t>Saya membangun jejaring strategis yang terus berkembang dan menghasilkan kolaborasi yang berkelanjutan.</t>
        </is>
      </c>
    </row>
    <row r="42">
      <c r="A42" s="8" t="inlineStr">
        <is>
          <t>SoR-K1</t>
        </is>
      </c>
      <c r="B42" s="3" t="inlineStr">
        <is>
          <t>Berbagi kapasitas
Saya menggunakan pengetahuan atau keterampilan yang saya miliki untuk membantu orang lain.</t>
        </is>
      </c>
      <c r="C42" s="3" t="inlineStr">
        <is>
          <t>Saya berbagi pengetahuan ketika diminta.</t>
        </is>
      </c>
      <c r="D42" s="3" t="inlineStr">
        <is>
          <t>Saya secara mandiri menawarkan pengetahuan atau keterampilan kepada orang yang membutuhkan.</t>
        </is>
      </c>
      <c r="E42" s="3" t="inlineStr">
        <is>
          <t>Saya secara aktif mentransfer pengetahuan dan membantu orang lain meningkatkan kapasitasnya.</t>
        </is>
      </c>
      <c r="F42" s="3" t="inlineStr">
        <is>
          <t>Saya membangun mekanisme atau budaya berbagi pengetahuan sehingga kapasitas tersebut dapat berkembang dan diteruskan kepada orang lain.</t>
        </is>
      </c>
    </row>
    <row r="43">
      <c r="A43" s="8" t="inlineStr">
        <is>
          <t>SoR-K2</t>
        </is>
      </c>
      <c r="B43" s="3" t="inlineStr">
        <is>
          <t>Keterlibatan sosial
Saya secara aktif terlibat dalam kegiatan yang memberikan manfaat bagi masyarakat atau lingkungan.</t>
        </is>
      </c>
      <c r="C43" s="3" t="inlineStr">
        <is>
          <t>Saya mengikuti kegiatan sosial ketika diajak atau terdapat kesempatan.</t>
        </is>
      </c>
      <c r="D43" s="3" t="inlineStr">
        <is>
          <t>Saya secara mandiri memilih dan terlibat dalam kegiatan yang memberikan manfaat.</t>
        </is>
      </c>
      <c r="E43" s="3" t="inlineStr">
        <is>
          <t>Saya mengambil peran aktif dalam kegiatan yang menghasilkan manfaat nyata.</t>
        </is>
      </c>
      <c r="F43" s="3" t="inlineStr">
        <is>
          <t>Saya mampu membangun atau mengembangkan kegiatan sosial yang memberikan manfaat berkelanjutan.</t>
        </is>
      </c>
    </row>
    <row r="44">
      <c r="A44" s="8" t="inlineStr">
        <is>
          <t>SoR-K3</t>
        </is>
      </c>
      <c r="B44" s="3" t="inlineStr">
        <is>
          <t>Inisiatif kontribusi
Saya mengambil inisiatif ketika melihat kebutuhan atau persoalan yang dapat saya bantu.</t>
        </is>
      </c>
      <c r="C44" s="3" t="inlineStr">
        <is>
          <t>Saya membantu ketika ada orang yang meminta bantuan atau mengajak saya.</t>
        </is>
      </c>
      <c r="D44" s="3" t="inlineStr">
        <is>
          <t>Saya mulai mengambil inisiatif ketika melihat kebutuhan yang dapat saya bantu.</t>
        </is>
      </c>
      <c r="E44" s="3" t="inlineStr">
        <is>
          <t>Saya mampu mengidentifikasi kebutuhan dan menginisiasi respons yang relevan.</t>
        </is>
      </c>
      <c r="F44" s="3" t="inlineStr">
        <is>
          <t>Saya mampu mengubah inisiatif menjadi gerakan atau solusi yang melibatkan orang lain dan menghasilkan dampak lebih luas.</t>
        </is>
      </c>
    </row>
    <row r="45">
      <c r="A45" s="8" t="inlineStr">
        <is>
          <t>SoR-K4</t>
        </is>
      </c>
      <c r="B45" s="3" t="inlineStr">
        <is>
          <t>Kontribusi berbasis keahlian
Saya mengembangkan kontribusi yang sesuai dengan kapasitas dan bidang keahlian saya agar manfaatnya lebih besar.</t>
        </is>
      </c>
      <c r="C45" s="3" t="inlineStr">
        <is>
          <t>Saya berkontribusi sesuai kemampuan dasar yang saya miliki.</t>
        </is>
      </c>
      <c r="D45" s="3" t="inlineStr">
        <is>
          <t>Saya mulai menggunakan kompetensi yang saya miliki untuk memberikan manfaat kepada orang lain.</t>
        </is>
      </c>
      <c r="E45" s="3" t="inlineStr">
        <is>
          <t>Saya secara sadar menghubungkan keahlian dengan kebutuhan masyarakat untuk menghasilkan kontribusi yang relevan.</t>
        </is>
      </c>
      <c r="F45" s="3" t="inlineStr">
        <is>
          <t>Saya mampu mengembangkan keahlian menjadi solusi atau kontribusi yang memiliki dampak lebih luas dan berkelanjutan.</t>
        </is>
      </c>
    </row>
    <row r="46">
      <c r="A46" s="8" t="inlineStr">
        <is>
          <t>SoR-CN1</t>
        </is>
      </c>
      <c r="B46" s="3" t="inlineStr">
        <is>
          <t>Konsistensi kontribusi
Saya tetap menjalankan komitmen sosial meskipun kesibukan akademik atau pekerjaan meningkat.</t>
        </is>
      </c>
      <c r="C46" s="3" t="inlineStr">
        <is>
          <t>Saya berkontribusi ketika waktu dan kondisi saya memungkinkan.</t>
        </is>
      </c>
      <c r="D46" s="3" t="inlineStr">
        <is>
          <t>Saya mampu mempertahankan kontribusi meskipun memiliki kesibukan lain.</t>
        </is>
      </c>
      <c r="E46" s="3" t="inlineStr">
        <is>
          <t>Saya mampu mengatur prioritas agar kontribusi tetap berjalan ketika tuntutan meningkat.</t>
        </is>
      </c>
      <c r="F46" s="3" t="inlineStr">
        <is>
          <t>Saya mampu menjaga keberlanjutan kontribusi melalui pengaturan sistem, pembagian peran, atau kolaborasi.</t>
        </is>
      </c>
    </row>
    <row r="47">
      <c r="A47" s="8" t="inlineStr">
        <is>
          <t>SoR-CN2</t>
        </is>
      </c>
      <c r="B47" s="3" t="inlineStr">
        <is>
          <t>Konsistensi kualitas
Saya mampu mempertahankan kualitas kontribusi saya dalam jangka waktu yang cukup panjang.</t>
        </is>
      </c>
      <c r="C47" s="3" t="inlineStr">
        <is>
          <t>Kualitas kontribusi saya masih bergantung pada kondisi dan motivasi saya.</t>
        </is>
      </c>
      <c r="D47" s="3" t="inlineStr">
        <is>
          <t>Saya mampu menjaga kualitas kontribusi dalam situasi yang relatif stabil.</t>
        </is>
      </c>
      <c r="E47" s="3" t="inlineStr">
        <is>
          <t>Saya mampu mempertahankan kualitas meskipun menghadapi perubahan beban dan tantangan.</t>
        </is>
      </c>
      <c r="F47" s="3" t="inlineStr">
        <is>
          <t>Saya mampu membangun pola kerja yang membuat kualitas kontribusi tetap terjaga dan dapat diteruskan oleh orang lain.</t>
        </is>
      </c>
    </row>
    <row r="48">
      <c r="A48" s="8" t="inlineStr">
        <is>
          <t>SoR-CN3</t>
        </is>
      </c>
      <c r="B48" s="3" t="inlineStr">
        <is>
          <t>Kontribusi dalam keterbatasan
Saya tetap berusaha memberikan manfaat meskipun menghadapi keterbatasan waktu, sumber daya, atau kondisi pribadi.</t>
        </is>
      </c>
      <c r="C48" s="3" t="inlineStr">
        <is>
          <t>Saya cenderung mengurangi kontribusi ketika menghadapi keterbatasan.</t>
        </is>
      </c>
      <c r="D48" s="3" t="inlineStr">
        <is>
          <t>Saya mulai mencari cara agar tetap dapat berkontribusi meskipun sumber daya terbatas.</t>
        </is>
      </c>
      <c r="E48" s="3" t="inlineStr">
        <is>
          <t>Saya mampu menyesuaikan bentuk kontribusi dengan keterbatasan yang ada tanpa kehilangan tujuan.</t>
        </is>
      </c>
      <c r="F48" s="3" t="inlineStr">
        <is>
          <t>Saya mampu mengubah keterbatasan menjadi peluang untuk menemukan cara kontribusi yang lebih kreatif dan melibatkan pihak lain.</t>
        </is>
      </c>
    </row>
    <row r="49">
      <c r="A49" s="8" t="inlineStr">
        <is>
          <t>SoR-CN4</t>
        </is>
      </c>
      <c r="B49" s="3" t="inlineStr">
        <is>
          <t>Keberlanjutan kontribusi
Saya memastikan kegiatan atau kontribusi yang saya bangun tidak berhenti hanya karena saya menghadapi perubahan kesibukan atau peran.</t>
        </is>
      </c>
      <c r="C49" s="3" t="inlineStr">
        <is>
          <t>Kontribusi saya masih sangat bergantung pada keterlibatan langsung saya.</t>
        </is>
      </c>
      <c r="D49" s="3" t="inlineStr">
        <is>
          <t>Saya mulai melibatkan orang lain agar kegiatan tetap berjalan.</t>
        </is>
      </c>
      <c r="E49" s="3" t="inlineStr">
        <is>
          <t>Saya mulai membangun pembagian peran dan mekanisme agar kegiatan dapat berjalan tanpa ketergantungan penuh pada saya.</t>
        </is>
      </c>
      <c r="F49" s="3" t="inlineStr">
        <is>
          <t>Saya mampu membangun sistem, regenerasi, atau kolaborasi sehingga kontribusi tetap berjalan dan berkembang meskipun saya tidak lagi terlibat langsung.</t>
        </is>
      </c>
    </row>
    <row r="50">
      <c r="A50" s="8" t="inlineStr">
        <is>
          <t>CR-P1</t>
        </is>
      </c>
      <c r="B50" s="3" t="inlineStr">
        <is>
          <t>Memahami akar masalah
Saya berusaha memahami akar masalah sebelum menentukan solusi.</t>
        </is>
      </c>
      <c r="C50" s="3" t="inlineStr">
        <is>
          <t>Saya langsung mencari solusi berdasarkan masalah yang terlihat.</t>
        </is>
      </c>
      <c r="D50" s="3" t="inlineStr">
        <is>
          <t>Saya mulai mencari penyebab masalah sebelum menentukan tindakan.</t>
        </is>
      </c>
      <c r="E50" s="3" t="inlineStr">
        <is>
          <t>Saya mampu menganalisis akar masalah dan membedakan gejala dengan penyebab utama.</t>
        </is>
      </c>
      <c r="F50" s="3" t="inlineStr">
        <is>
          <t>Saya mampu membantu orang atau tim memahami akar masalah secara sistematis dan mencegah masalah serupa terjadi kembali.</t>
        </is>
      </c>
    </row>
    <row r="51">
      <c r="A51" s="8" t="inlineStr">
        <is>
          <t>CR-P2</t>
        </is>
      </c>
      <c r="B51" s="3" t="inlineStr">
        <is>
          <t>Alternatif solusi
Saya mempertimbangkan beberapa alternatif sebelum mengambil keputusan ketika menghadapi masalah.</t>
        </is>
      </c>
      <c r="C51" s="3" t="inlineStr">
        <is>
          <t>Saya cenderung memilih solusi pertama yang terlihat memungkinkan.</t>
        </is>
      </c>
      <c r="D51" s="3" t="inlineStr">
        <is>
          <t>Saya mulai mempertimbangkan beberapa alternatif sebelum mengambil keputusan.</t>
        </is>
      </c>
      <c r="E51" s="3" t="inlineStr">
        <is>
          <t>Saya mampu membandingkan alternatif berdasarkan risiko, sumber daya, dan dampaknya.</t>
        </is>
      </c>
      <c r="F51" s="3" t="inlineStr">
        <is>
          <t>Saya mampu membantu tim mengambil keputusan dalam situasi kompleks dengan mempertimbangkan berbagai skenario dan konsekuensi.</t>
        </is>
      </c>
    </row>
    <row r="52">
      <c r="A52" s="8" t="inlineStr">
        <is>
          <t>CR-P3</t>
        </is>
      </c>
      <c r="B52" s="3" t="inlineStr">
        <is>
          <t>Pengambilan keputusan berbasis informasi
Saya menggunakan informasi, data, atau pengalaman yang relevan untuk menentukan solusi.</t>
        </is>
      </c>
      <c r="C52" s="3" t="inlineStr">
        <is>
          <t>Saya menggunakan informasi yang tersedia ketika diarahkan.</t>
        </is>
      </c>
      <c r="D52" s="3" t="inlineStr">
        <is>
          <t>Saya secara mandiri mencari informasi yang relevan sebelum mengambil keputusan.</t>
        </is>
      </c>
      <c r="E52" s="3" t="inlineStr">
        <is>
          <t>Saya mampu menilai kualitas informasi dan menggunakannya untuk menyelesaikan masalah yang kompleks.</t>
        </is>
      </c>
      <c r="F52" s="3" t="inlineStr">
        <is>
          <t>Saya mampu membangun proses pengambilan keputusan berbasis informasi yang dapat digunakan oleh tim atau organisasi.</t>
        </is>
      </c>
    </row>
    <row r="53">
      <c r="A53" s="8" t="inlineStr">
        <is>
          <t>CR-P4</t>
        </is>
      </c>
      <c r="B53" s="3" t="inlineStr">
        <is>
          <t>Evaluasi solusi
Saya mengevaluasi hasil solusi yang saya pilih dan melakukan perbaikan jika diperlukan.</t>
        </is>
      </c>
      <c r="C53" s="3" t="inlineStr">
        <is>
          <t>Saya mengevaluasi hasil ketika diarahkan atau setelah muncul masalah baru.</t>
        </is>
      </c>
      <c r="D53" s="3" t="inlineStr">
        <is>
          <t>Saya secara mandiri memeriksa apakah solusi yang saya pilih berhasil.</t>
        </is>
      </c>
      <c r="E53" s="3" t="inlineStr">
        <is>
          <t>Saya menggunakan hasil evaluasi untuk memperbaiki strategi dan mengambil keputusan berikutnya.</t>
        </is>
      </c>
      <c r="F53" s="3" t="inlineStr">
        <is>
          <t>Saya membangun mekanisme evaluasi dan pembelajaran yang memungkinkan tim terus memperbaiki solusi secara berkelanjutan.</t>
        </is>
      </c>
    </row>
    <row r="54">
      <c r="A54" s="8" t="inlineStr">
        <is>
          <t>CR-E1</t>
        </is>
      </c>
      <c r="B54" s="3" t="inlineStr">
        <is>
          <t>Mengubah ide menjadi tindakan
Saya mampu mengubah ide atau rencana menjadi langkah kerja yang konkret.</t>
        </is>
      </c>
      <c r="C54" s="3" t="inlineStr">
        <is>
          <t>Saya mampu menjalankan langkah kerja ketika arahan dan target sudah tersedia.</t>
        </is>
      </c>
      <c r="D54" s="3" t="inlineStr">
        <is>
          <t>Saya mampu memecah ide menjadi langkah kerja dan menjalankannya secara mandiri.</t>
        </is>
      </c>
      <c r="E54" s="3" t="inlineStr">
        <is>
          <t>Saya mampu mengubah ide yang kompleks menjadi rencana kerja yang dapat dilaksanakan dan mengoordinasikan orang lain.</t>
        </is>
      </c>
      <c r="F54" s="3" t="inlineStr">
        <is>
          <t>Saya mampu mengubah ide menjadi sistem atau model kerja yang dapat diteruskan dan dikembangkan oleh orang lain.</t>
        </is>
      </c>
    </row>
    <row r="55">
      <c r="A55" s="8" t="inlineStr">
        <is>
          <t>CR-E2</t>
        </is>
      </c>
      <c r="B55" s="3" t="inlineStr">
        <is>
          <t>Menyelesaikan pekerjaan
Saya mampu menjaga pekerjaan atau program tetap berjalan sampai menghasilkan keluaran yang jelas.</t>
        </is>
      </c>
      <c r="C55" s="3" t="inlineStr">
        <is>
          <t>Saya mampu menyelesaikan tugas ketika target dan pengawasan sudah jelas.</t>
        </is>
      </c>
      <c r="D55" s="3" t="inlineStr">
        <is>
          <t>Saya mampu menjaga pekerjaan tetap berjalan dan menyelesaikannya secara mandiri.</t>
        </is>
      </c>
      <c r="E55" s="3" t="inlineStr">
        <is>
          <t>Saya mampu menyelesaikan program meskipun menghadapi hambatan, perubahan, atau keterbatasan sumber daya.</t>
        </is>
      </c>
      <c r="F55" s="3" t="inlineStr">
        <is>
          <t>Saya mampu memastikan hasil program tetap memberikan manfaat setelah pelaksanaan utama selesai.</t>
        </is>
      </c>
    </row>
    <row r="56">
      <c r="A56" s="8" t="inlineStr">
        <is>
          <t>CR-E3</t>
        </is>
      </c>
      <c r="B56" s="3" t="inlineStr">
        <is>
          <t>Monitoring dan adaptasi eksekusi
Saya memantau kemajuan pekerjaan dan melakukan penyesuaian ketika terjadi hambatan.</t>
        </is>
      </c>
      <c r="C56" s="3" t="inlineStr">
        <is>
          <t>Saya menyesuaikan pekerjaan setelah mendapat arahan ketika terjadi hambatan.</t>
        </is>
      </c>
      <c r="D56" s="3" t="inlineStr">
        <is>
          <t>Saya mampu memantau kemajuan dan melakukan penyesuaian secara mandiri.</t>
        </is>
      </c>
      <c r="E56" s="3" t="inlineStr">
        <is>
          <t>Saya mampu mengantisipasi hambatan dan mengubah strategi sebelum masalah menjadi lebih besar.</t>
        </is>
      </c>
      <c r="F56" s="3" t="inlineStr">
        <is>
          <t>Saya mampu membangun sistem monitoring dan adaptasi yang membuat tim tetap efektif menghadapi perubahan.</t>
        </is>
      </c>
    </row>
    <row r="57">
      <c r="A57" s="8" t="inlineStr">
        <is>
          <t>CR-E4</t>
        </is>
      </c>
      <c r="B57" s="3" t="inlineStr">
        <is>
          <t>Legacy dan keberlanjutan
Saya memastikan hasil atau sistem yang saya bangun tetap dapat digunakan dan memberikan manfaat setelah pekerjaan utama selesai.</t>
        </is>
      </c>
      <c r="C57" s="3" t="inlineStr">
        <is>
          <t>Saya fokus menyelesaikan tugas atau kegiatan yang menjadi tanggung jawab saya.</t>
        </is>
      </c>
      <c r="D57" s="3" t="inlineStr">
        <is>
          <t>Saya mulai memikirkan bagaimana hasil kerja dapat digunakan setelah kegiatan selesai.</t>
        </is>
      </c>
      <c r="E57" s="3" t="inlineStr">
        <is>
          <t>Saya membangun dokumentasi, mekanisme, atau pembagian peran agar hasil kerja dapat diteruskan.</t>
        </is>
      </c>
      <c r="F57" s="3" t="inlineStr">
        <is>
          <t>Saya mampu menciptakan sistem, pengetahuan, atau karya yang tetap berjalan, berkembang, dan memberikan manfaat meskipun saya tidak lagi menjadi pelaksana utama.</t>
        </is>
      </c>
    </row>
    <row r="58">
      <c r="A58" s="8" t="inlineStr">
        <is>
          <t>CR-AD1</t>
        </is>
      </c>
      <c r="B58" s="3" t="inlineStr">
        <is>
          <t>Adaptasi cara kerja
Saya mampu menyesuaikan cara kerja ketika situasi atau tuntutan berubah.</t>
        </is>
      </c>
      <c r="C58" s="3" t="inlineStr">
        <is>
          <t>Saya membutuhkan arahan ketika cara kerja atau situasi berubah.</t>
        </is>
      </c>
      <c r="D58" s="3" t="inlineStr">
        <is>
          <t>Saya mampu menyesuaikan cara kerja secara mandiri ketika terjadi perubahan.</t>
        </is>
      </c>
      <c r="E58" s="3" t="inlineStr">
        <is>
          <t>Saya mampu mengubah strategi kerja secara cepat tanpa mengurangi pencapaian tujuan.</t>
        </is>
      </c>
      <c r="F58" s="3" t="inlineStr">
        <is>
          <t>Saya mampu membantu orang atau tim beradaptasi terhadap perubahan dan menjaga produktivitas bersama.</t>
        </is>
      </c>
    </row>
    <row r="59">
      <c r="A59" s="8" t="inlineStr">
        <is>
          <t>CR-AD2</t>
        </is>
      </c>
      <c r="B59" s="3" t="inlineStr">
        <is>
          <t>Menghadapi ketidakpastian
Saya tetap dapat mengambil keputusan dan bekerja ketika menghadapi ketidakpastian.</t>
        </is>
      </c>
      <c r="C59" s="3" t="inlineStr">
        <is>
          <t>Saya membutuhkan kepastian dan arahan sebelum dapat mengambil tindakan.</t>
        </is>
      </c>
      <c r="D59" s="3" t="inlineStr">
        <is>
          <t>Saya mulai mampu mengambil keputusan meskipun informasi belum sepenuhnya tersedia.</t>
        </is>
      </c>
      <c r="E59" s="3" t="inlineStr">
        <is>
          <t>Saya mampu mengambil keputusan secara tenang dengan mempertimbangkan risiko dan informasi yang tersedia.</t>
        </is>
      </c>
      <c r="F59" s="3" t="inlineStr">
        <is>
          <t>Saya mampu membantu tim bergerak dalam situasi yang tidak pasti dengan menetapkan arah, skenario, dan langkah adaptif.</t>
        </is>
      </c>
    </row>
    <row r="60">
      <c r="A60" s="8" t="inlineStr">
        <is>
          <t>CR-AD3</t>
        </is>
      </c>
      <c r="B60" s="3" t="inlineStr">
        <is>
          <t>Bangkit dari kegagalan
Saya mampu bangkit dan kembali produktif setelah mengalami kegagalan atau kemunduran.</t>
        </is>
      </c>
      <c r="C60" s="3" t="inlineStr">
        <is>
          <t>Saya membutuhkan dukungan orang lain untuk kembali produktif setelah mengalami kegagalan.</t>
        </is>
      </c>
      <c r="D60" s="3" t="inlineStr">
        <is>
          <t>Saya mampu memulihkan diri dan kembali menjalankan tanggung jawab setelah mengalami kemunduran.</t>
        </is>
      </c>
      <c r="E60" s="3" t="inlineStr">
        <is>
          <t>Saya mampu menggunakan kegagalan sebagai pembelajaran dan kembali bergerak dengan strategi yang lebih baik.</t>
        </is>
      </c>
      <c r="F60" s="3" t="inlineStr">
        <is>
          <t>Saya mampu bangkit dari kegagalan sekaligus membantu orang lain atau tim untuk kembali bergerak dan belajar dari pengalaman tersebut.</t>
        </is>
      </c>
    </row>
    <row r="61">
      <c r="A61" s="8" t="inlineStr">
        <is>
          <t>CR-AD4</t>
        </is>
      </c>
      <c r="B61" s="3" t="inlineStr">
        <is>
          <t>Fleksibilitas strategis
Saya mampu mengubah strategi tanpa kehilangan tujuan utama ketika kondisi berubah.</t>
        </is>
      </c>
      <c r="C61" s="3" t="inlineStr">
        <is>
          <t>Saya cenderung membutuhkan arahan ketika rencana awal tidak dapat dijalankan.</t>
        </is>
      </c>
      <c r="D61" s="3" t="inlineStr">
        <is>
          <t>Saya mampu menyesuaikan rencana ketika terjadi perubahan.</t>
        </is>
      </c>
      <c r="E61" s="3" t="inlineStr">
        <is>
          <t>Saya mampu mengubah strategi secara mandiri sambil tetap menjaga tujuan utama.</t>
        </is>
      </c>
      <c r="F61" s="3" t="inlineStr">
        <is>
          <t>Saya mampu mengarahkan orang lain untuk beradaptasi terhadap perubahan tanpa kehilangan visi dan tujuan jangka panjang.</t>
        </is>
      </c>
    </row>
    <row r="62">
      <c r="A62" s="8" t="inlineStr">
        <is>
          <t>CR-L1</t>
        </is>
      </c>
      <c r="B62" s="3" t="inlineStr">
        <is>
          <t>Mengambil peran
Saya berani mengambil peran ketika melihat kebutuhan atau persoalan yang perlu ditangani.</t>
        </is>
      </c>
      <c r="C62" s="3" t="inlineStr">
        <is>
          <t>Saya mengambil peran ketika diminta atau diarahkan oleh orang lain.</t>
        </is>
      </c>
      <c r="D62" s="3" t="inlineStr">
        <is>
          <t>Saya mulai secara mandiri mengambil peran ketika melihat kebutuhan yang jelas.</t>
        </is>
      </c>
      <c r="E62" s="3" t="inlineStr">
        <is>
          <t>Saya berinisiatif mengambil tanggung jawab dalam persoalan yang kompleks dan menggerakkan orang lain untuk membantu.</t>
        </is>
      </c>
      <c r="F62" s="3" t="inlineStr">
        <is>
          <t>Saya secara konsisten menjadi penggerak ketika melihat kebutuhan dan mampu membangun mekanisme agar persoalan tersebut dapat ditangani secara berkelanjutan.</t>
        </is>
      </c>
    </row>
    <row r="63">
      <c r="A63" s="8" t="inlineStr">
        <is>
          <t>CR-L2</t>
        </is>
      </c>
      <c r="B63" s="3" t="inlineStr">
        <is>
          <t>Influence
Saya mampu mengajak dan memengaruhi orang lain untuk bergerak menuju tujuan bersama.</t>
        </is>
      </c>
      <c r="C63" s="3" t="inlineStr">
        <is>
          <t>Saya dapat mengajak orang lain ketika mendapatkan dukungan atau arahan.</t>
        </is>
      </c>
      <c r="D63" s="3" t="inlineStr">
        <is>
          <t>Saya mampu mengajak orang lain secara mandiri untuk mencapai tujuan bersama.</t>
        </is>
      </c>
      <c r="E63" s="3" t="inlineStr">
        <is>
          <t>Saya mampu membangun kepercayaan, komunikasi, dan motivasi sehingga orang lain bersedia bergerak bersama.</t>
        </is>
      </c>
      <c r="F63" s="3" t="inlineStr">
        <is>
          <t>Saya mampu membangun pengaruh yang tidak bergantung pada posisi formal dan membuat orang lain ikut menjadi penggerak.</t>
        </is>
      </c>
    </row>
    <row r="64">
      <c r="A64" s="8" t="inlineStr">
        <is>
          <t>CR-L3</t>
        </is>
      </c>
      <c r="B64" s="3" t="inlineStr">
        <is>
          <t>Memimpin perubahan
Saya mampu memimpin kegiatan atau inisiatif yang menghasilkan perubahan nyata bagi lingkungan saya.</t>
        </is>
      </c>
      <c r="C64" s="3" t="inlineStr">
        <is>
          <t>Saya mampu menjalankan bagian dari kegiatan yang dipimpin oleh orang lain.</t>
        </is>
      </c>
      <c r="D64" s="3" t="inlineStr">
        <is>
          <t>Saya mampu memimpin kegiatan sederhana dan menghasilkan keluaran yang jelas.</t>
        </is>
      </c>
      <c r="E64" s="3" t="inlineStr">
        <is>
          <t>Saya mampu memimpin inisiatif yang menghasilkan perubahan nyata bagi kelompok, organisasi, kampus, atau masyarakat.</t>
        </is>
      </c>
      <c r="F64" s="3" t="inlineStr">
        <is>
          <t>Saya mampu memimpin perubahan yang melibatkan berbagai pihak, menghasilkan dampak nyata, dan terus berkembang setelah fase awal kepemimpinan saya.</t>
        </is>
      </c>
    </row>
    <row r="65">
      <c r="A65" s="8" t="inlineStr">
        <is>
          <t>CR-L4</t>
        </is>
      </c>
      <c r="B65" s="3" t="inlineStr">
        <is>
          <t>Legacy &amp; Regeneration
Saya mampu membangun sistem, mengembangkan penerus, atau menyiapkan keberlanjutan agar perubahan yang saya mulai tetap berjalan tanpa ketergantungan pada diri saya.</t>
        </is>
      </c>
      <c r="C65" s="3" t="inlineStr">
        <is>
          <t>Saya baru mampu mengambil peran ketika diarahkan dan belum memikirkan keberlanjutan.</t>
        </is>
      </c>
      <c r="D65" s="3" t="inlineStr">
        <is>
          <t>Saya mampu menjalankan kegiatan secara mandiri dan mulai melibatkan orang lain.</t>
        </is>
      </c>
      <c r="E65" s="3" t="inlineStr">
        <is>
          <t>Saya mampu memimpin kegiatan dan menghasilkan perubahan yang dirasakan oleh orang lain.</t>
        </is>
      </c>
      <c r="F65" s="3" t="inlineStr">
        <is>
          <t>Saya mampu membangun sistem, mengembangkan penerus, dan menyiapkan keberlanjutan sehingga perubahan tetap berjalan meskipun saya tidak lagi menjadi pelaksana utama.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2026-09-01T06:28:27Z</dcterms:created>
  <dcterms:modified xmlns:dcterms="http://purl.org/dc/terms/" xmlns:xsi="http://www.w3.org/2001/XMLSchema-instance" xsi:type="dcterms:W3CDTF">2026-09-01T06:28:28Z</dcterms:modified>
</cp:coreProperties>
</file>